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mayur\Desktop\Excelling\"/>
    </mc:Choice>
  </mc:AlternateContent>
  <xr:revisionPtr revIDLastSave="0" documentId="13_ncr:1_{07DE6310-4B0B-4B87-8627-78BC7ACC382E}" xr6:coauthVersionLast="47" xr6:coauthVersionMax="47" xr10:uidLastSave="{00000000-0000-0000-0000-000000000000}"/>
  <bookViews>
    <workbookView xWindow="-108" yWindow="-108" windowWidth="23256" windowHeight="13176" activeTab="2" xr2:uid="{346724B3-1C49-40AE-AA36-C77CF5D6DD09}"/>
  </bookViews>
  <sheets>
    <sheet name="Data" sheetId="1" r:id="rId1"/>
    <sheet name="Questions &amp; KPIs" sheetId="2" r:id="rId2"/>
    <sheet name="Dashboard" sheetId="5" r:id="rId3"/>
    <sheet name="Pivot_Tables" sheetId="7" r:id="rId4"/>
  </sheets>
  <definedNames>
    <definedName name="Slicer_Gender_Value">#N/A</definedName>
    <definedName name="Slicer_Order_Mode">#N/A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8" i="7" l="1"/>
  <c r="E8" i="7"/>
  <c r="D8" i="7"/>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 r="B8" i="7"/>
  <c r="A8" i="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<sst xmlns="http://schemas.openxmlformats.org/spreadsheetml/2006/main" count="14879" uniqueCount="2545">
  <si>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</si>
  <si>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</si>
  <si>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</si>
  <si>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</si>
  <si>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</si>
  <si>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</si>
  <si>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</si>
  <si>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</si>
  <si>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</si>
  <si>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</si>
  <si>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</si>
  <si>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</si>
  <si>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</si>
  <si>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</si>
  <si>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</si>
  <si>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</si>
  <si>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</si>
  <si>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</si>
  <si>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</si>
  <si>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</si>
  <si>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</si>
  <si>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</si>
  <si>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</si>
  <si>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</si>
  <si>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</si>
  <si>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</si>
  <si>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</si>
  <si>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</si>
  <si>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</si>
  <si>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</si>
  <si>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</si>
  <si>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</si>
  <si>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</si>
  <si>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</si>
  <si>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</si>
  <si>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</si>
  <si>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</si>
  <si>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</si>
  <si>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</si>
  <si>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</si>
  <si>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</si>
  <si>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</si>
  <si>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</si>
  <si>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</si>
  <si>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</si>
  <si>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</si>
  <si>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</si>
  <si>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</si>
  <si>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</si>
  <si>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</si>
  <si>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</si>
  <si>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</si>
  <si>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</si>
  <si>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</si>
  <si>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</si>
  <si>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</si>
  <si>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</si>
  <si>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</si>
  <si>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</si>
  <si>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</si>
  <si>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</si>
  <si>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</si>
  <si>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</si>
  <si>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</si>
  <si>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</si>
  <si>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</si>
  <si>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</si>
  <si>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</si>
  <si>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</si>
  <si>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</si>
  <si>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</si>
  <si>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</si>
  <si>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</si>
  <si>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</si>
  <si>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</si>
  <si>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</si>
  <si>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</si>
  <si>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</si>
  <si>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</si>
  <si>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</si>
  <si>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</si>
  <si>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</si>
  <si>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</si>
  <si>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</si>
  <si>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</si>
  <si>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</si>
  <si>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</si>
  <si>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</si>
  <si>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</si>
  <si>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</si>
  <si>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</si>
  <si>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</si>
  <si>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</si>
  <si>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</si>
  <si>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</si>
  <si>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</si>
  <si>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</si>
  <si>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</si>
  <si>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</si>
  <si>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</si>
  <si>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</si>
  <si>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</si>
  <si>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</si>
  <si>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</si>
  <si>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</si>
  <si>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</si>
  <si>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</si>
  <si>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</si>
  <si>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</si>
  <si>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</si>
  <si>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</si>
  <si>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</si>
  <si>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</si>
  <si>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</si>
  <si>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</si>
  <si>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</si>
  <si>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</si>
  <si>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</si>
  <si>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</si>
  <si>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</si>
  <si>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</si>
  <si>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</si>
  <si>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</si>
  <si>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</si>
  <si>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</si>
  <si>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</si>
  <si>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</si>
  <si>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</si>
  <si>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</si>
  <si>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</si>
  <si>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</si>
  <si>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</si>
  <si>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</si>
  <si>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</si>
  <si>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</si>
  <si>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</si>
  <si>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</si>
  <si>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</si>
  <si>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</si>
  <si>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</si>
  <si>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</si>
  <si>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</si>
  <si>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</si>
  <si>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</si>
  <si>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</si>
  <si>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</si>
  <si>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</si>
  <si>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</si>
  <si>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</si>
  <si>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</si>
  <si>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</si>
  <si>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</si>
  <si>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</si>
  <si>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</si>
  <si>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</si>
  <si>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</si>
  <si>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</si>
  <si>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</si>
  <si>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</si>
  <si>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</si>
  <si>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</si>
  <si>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</si>
  <si>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</si>
  <si>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</si>
  <si>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</si>
  <si>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</si>
  <si>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</si>
  <si>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</si>
  <si>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</si>
  <si>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</si>
  <si>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</si>
  <si>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</si>
  <si>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</si>
  <si>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</si>
  <si>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</si>
  <si>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</si>
  <si>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</si>
  <si>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</si>
  <si>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</si>
  <si>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</si>
  <si>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</si>
  <si>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</si>
  <si>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</si>
  <si>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</si>
  <si>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</si>
  <si>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</si>
  <si>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</si>
  <si>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</si>
  <si>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</si>
  <si>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</si>
  <si>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</si>
  <si>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</si>
  <si>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</si>
  <si>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</si>
  <si>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</si>
  <si>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</si>
  <si>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</si>
  <si>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</si>
  <si>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</si>
  <si>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</si>
  <si>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</si>
  <si>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</si>
  <si>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</si>
  <si>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</si>
  <si>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</si>
  <si>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</si>
  <si>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</si>
  <si>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</si>
  <si>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</si>
  <si>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</si>
  <si>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</si>
  <si>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</si>
  <si>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</si>
  <si>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</si>
  <si>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</si>
  <si>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</si>
  <si>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</si>
  <si>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</si>
  <si>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</si>
  <si>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</si>
  <si>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</si>
  <si>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</si>
  <si>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</si>
  <si>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</si>
  <si>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</si>
  <si>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</si>
  <si>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</si>
  <si>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</si>
  <si>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</si>
  <si>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</si>
  <si>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</si>
  <si>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</si>
  <si>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</si>
  <si>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</si>
  <si>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</si>
  <si>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</si>
  <si>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</si>
  <si>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</si>
  <si>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</si>
  <si>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</si>
  <si>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</si>
  <si>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</si>
  <si>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</si>
  <si>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</si>
  <si>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</si>
  <si>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</si>
  <si>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</si>
  <si>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</si>
  <si>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</si>
  <si>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</si>
  <si>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</si>
  <si>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</si>
  <si>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</si>
  <si>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</si>
  <si>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</si>
  <si>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</si>
  <si>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</si>
  <si>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</si>
  <si>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</si>
  <si>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</si>
  <si>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</si>
  <si>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</si>
  <si>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</si>
  <si>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</si>
  <si>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</si>
  <si>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</si>
  <si>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</si>
  <si>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</si>
  <si>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</si>
  <si>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</si>
  <si>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</si>
  <si>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</si>
  <si>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</si>
  <si>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</si>
  <si>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</si>
  <si>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</si>
  <si>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</si>
  <si>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</si>
  <si>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</si>
  <si>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</si>
  <si>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</si>
  <si>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</si>
  <si>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</si>
  <si>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</si>
  <si>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</si>
  <si>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</si>
  <si>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</si>
  <si>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</si>
  <si>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</si>
  <si>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</si>
  <si>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</si>
  <si>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</si>
  <si>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</si>
  <si>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</si>
  <si>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</si>
  <si>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</si>
  <si>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</si>
  <si>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</si>
  <si>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</si>
  <si>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</si>
  <si>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</si>
  <si>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</si>
  <si>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</si>
  <si>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</si>
  <si>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</si>
  <si>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</si>
  <si>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</si>
  <si>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</si>
  <si>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</si>
  <si>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</si>
  <si>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</si>
  <si>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</si>
  <si>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</si>
  <si>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</si>
  <si>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</si>
  <si>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</si>
  <si>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</si>
  <si>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</si>
  <si>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</si>
  <si>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</si>
  <si>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</si>
  <si>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</si>
  <si>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</si>
  <si>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</si>
  <si>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</si>
  <si>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</si>
  <si>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</si>
  <si>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</si>
  <si>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</si>
  <si>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</si>
  <si>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</si>
  <si>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</si>
  <si>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</si>
  <si>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</si>
  <si>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</si>
  <si>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</si>
  <si>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</si>
  <si>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</si>
  <si>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</si>
  <si>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</si>
  <si>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</si>
  <si>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</si>
  <si>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</si>
  <si>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</si>
  <si>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</si>
  <si>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</si>
  <si>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</si>
  <si>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</si>
  <si>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</si>
  <si>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</si>
  <si>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</si>
  <si>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</si>
  <si>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</si>
  <si>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</si>
  <si>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</si>
  <si>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</si>
  <si>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</si>
  <si>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</si>
  <si>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</si>
  <si>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</si>
  <si>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</si>
  <si>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</si>
  <si>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</si>
  <si>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</si>
  <si>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</si>
  <si>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</si>
  <si>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</si>
  <si>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</si>
  <si>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</si>
  <si>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</si>
  <si>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</si>
  <si>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</si>
  <si>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</si>
  <si>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</si>
  <si>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</si>
  <si>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</si>
  <si>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</si>
  <si>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</si>
  <si>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</si>
  <si>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</si>
  <si>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</si>
  <si>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</si>
  <si>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</si>
  <si>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</si>
  <si>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</si>
  <si>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</si>
  <si>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</si>
  <si>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</si>
  <si>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</si>
  <si>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</si>
  <si>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</si>
  <si>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</si>
  <si>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</si>
  <si>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</si>
  <si>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</si>
  <si>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</si>
  <si>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</si>
  <si>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</si>
  <si>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</si>
  <si>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</si>
  <si>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</si>
  <si>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</si>
  <si>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</si>
  <si>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</si>
  <si>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</si>
  <si>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</si>
  <si>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</si>
  <si>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</si>
  <si>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</si>
  <si>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</si>
  <si>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</si>
  <si>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</si>
  <si>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</si>
  <si>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</si>
  <si>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</si>
  <si>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</si>
  <si>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</si>
  <si>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</si>
  <si>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</si>
  <si>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</si>
  <si>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</si>
  <si>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</si>
  <si>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</si>
  <si>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</si>
  <si>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</si>
  <si>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</si>
  <si>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</si>
  <si>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</si>
  <si>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</si>
  <si>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</si>
  <si>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</si>
  <si>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</si>
  <si>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</si>
  <si>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</si>
  <si>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</si>
  <si>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</si>
  <si>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</si>
  <si>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</si>
  <si>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</si>
  <si>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</si>
  <si>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</si>
  <si>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</si>
  <si>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</si>
  <si>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</si>
  <si>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</si>
  <si>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</si>
  <si>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</si>
  <si>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</si>
  <si>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</si>
  <si>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</si>
  <si>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</si>
  <si>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</si>
  <si>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</si>
  <si>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</si>
  <si>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</si>
  <si>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</si>
  <si>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</si>
  <si>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</si>
  <si>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</si>
  <si>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</si>
  <si>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</si>
  <si>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</si>
  <si>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</si>
  <si>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</si>
  <si>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</si>
  <si>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</si>
  <si>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</si>
  <si>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</si>
  <si>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</si>
  <si>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</si>
  <si>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</si>
  <si>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</si>
  <si>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</si>
  <si>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</si>
  <si>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</si>
  <si>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</si>
  <si>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</si>
  <si>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</si>
  <si>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</si>
  <si>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</si>
  <si>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</si>
  <si>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</si>
  <si>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</si>
  <si>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</si>
  <si>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</si>
  <si>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</si>
  <si>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</si>
  <si>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</si>
  <si>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</si>
  <si>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</si>
  <si>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</si>
  <si>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</si>
  <si>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</si>
  <si>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</si>
  <si>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</si>
  <si>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</si>
  <si>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</si>
  <si>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</si>
  <si>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</si>
  <si>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</si>
  <si>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</si>
  <si>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</si>
  <si>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</si>
  <si>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</si>
  <si>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</si>
  <si>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</si>
  <si>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</si>
  <si>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</si>
  <si>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</si>
  <si>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</si>
  <si>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</si>
  <si>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</si>
  <si>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</si>
  <si>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</si>
  <si>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</si>
  <si>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</si>
  <si>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</si>
  <si>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</si>
  <si>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</si>
  <si>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</si>
  <si>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</si>
  <si>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</si>
  <si>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</si>
  <si>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</si>
  <si>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</si>
  <si>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</si>
  <si>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</si>
  <si>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</si>
  <si>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</si>
  <si>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</si>
  <si>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</si>
  <si>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</si>
  <si>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</si>
  <si>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</si>
  <si>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</si>
  <si>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</si>
  <si>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</si>
  <si>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</si>
  <si>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</si>
  <si>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</si>
  <si>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</si>
  <si>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</si>
  <si>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</si>
  <si>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</si>
  <si>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</si>
  <si>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</si>
  <si>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</si>
  <si>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</si>
  <si>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</si>
  <si>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</si>
  <si>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</si>
  <si>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</si>
  <si>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</si>
  <si>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</si>
  <si>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</si>
  <si>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</si>
  <si>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</si>
  <si>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</si>
  <si>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</si>
  <si>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</si>
  <si>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</si>
  <si>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</si>
  <si>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</si>
  <si>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</si>
  <si>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</si>
  <si>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</si>
  <si>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</si>
  <si>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</si>
  <si>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</si>
  <si>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</si>
  <si>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</si>
  <si>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</si>
  <si>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</si>
  <si>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</si>
  <si>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</si>
  <si>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</si>
  <si>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</si>
  <si>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</si>
  <si>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</si>
  <si>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</si>
  <si>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</si>
  <si>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</si>
  <si>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</si>
  <si>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</si>
  <si>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</si>
  <si>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</si>
  <si>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</si>
  <si>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</si>
  <si>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</si>
  <si>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</si>
  <si>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</si>
  <si>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</si>
  <si>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</si>
  <si>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</si>
  <si>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</si>
  <si>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</si>
  <si>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</si>
  <si>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</si>
  <si>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</si>
  <si>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</si>
  <si>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</si>
  <si>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</si>
  <si>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</si>
  <si>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</si>
  <si>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</si>
  <si>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</si>
  <si>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</si>
  <si>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</si>
  <si>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</si>
  <si>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</si>
  <si>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</si>
  <si>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</si>
  <si>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</si>
  <si>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</si>
  <si>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</si>
  <si>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</si>
  <si>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</si>
  <si>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</si>
  <si>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</si>
  <si>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</si>
  <si>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</si>
  <si>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</si>
  <si>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</si>
  <si>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</si>
  <si>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</si>
  <si>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</si>
  <si>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</si>
  <si>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</si>
  <si>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</si>
  <si>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</si>
  <si>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</si>
  <si>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</si>
  <si>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</si>
  <si>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</si>
  <si>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</si>
  <si>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</si>
  <si>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</si>
  <si>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</si>
  <si>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</si>
  <si>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</si>
  <si>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</si>
  <si>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</si>
  <si>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</si>
  <si>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</si>
  <si>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</si>
  <si>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</si>
  <si>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</si>
  <si>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</si>
  <si>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</si>
  <si>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</si>
  <si>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</si>
  <si>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</si>
  <si>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</si>
  <si>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</si>
  <si>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</si>
  <si>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</si>
  <si>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</si>
  <si>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</si>
  <si>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</si>
  <si>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</si>
  <si>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</si>
  <si>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</si>
  <si>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</si>
  <si>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</si>
  <si>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</si>
  <si>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</si>
  <si>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</si>
  <si>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</si>
  <si>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</si>
  <si>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</si>
  <si>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</si>
  <si>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</si>
  <si>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</si>
  <si>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</si>
  <si>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</si>
  <si>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</si>
  <si>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</si>
  <si>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</si>
  <si>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</si>
  <si>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</si>
  <si>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</si>
  <si>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</si>
  <si>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</si>
  <si>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</si>
  <si>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</si>
  <si>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</si>
  <si>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</si>
  <si>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</si>
  <si>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</si>
  <si>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</si>
  <si>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</si>
  <si>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</si>
  <si>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</si>
  <si>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</si>
  <si>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</si>
  <si>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</si>
  <si>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</si>
  <si>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</si>
  <si>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</si>
  <si>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</si>
  <si>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</si>
  <si>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</si>
  <si>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</si>
  <si>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</si>
  <si>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</si>
  <si>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</si>
  <si>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</si>
  <si>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</si>
  <si>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</si>
  <si>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</si>
  <si>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</si>
  <si>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</si>
  <si>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</si>
  <si>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</si>
  <si>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</si>
  <si>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</si>
  <si>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</si>
  <si>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</si>
  <si>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</si>
  <si>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</si>
  <si>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</si>
  <si>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</si>
  <si>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</si>
  <si>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</si>
  <si>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</si>
  <si>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</si>
  <si>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</si>
  <si>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</si>
  <si>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</si>
  <si>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</si>
  <si>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</si>
  <si>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</si>
  <si>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</si>
  <si>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</si>
  <si>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</si>
  <si>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</si>
  <si>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</si>
  <si>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</si>
  <si>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</si>
  <si>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</si>
  <si>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</si>
  <si>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</si>
  <si>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</si>
  <si>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</si>
  <si>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</si>
  <si>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</si>
  <si>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</si>
  <si>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</si>
  <si>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</si>
  <si>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</si>
  <si>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</si>
  <si>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</si>
  <si>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</si>
  <si>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</si>
  <si>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</si>
  <si>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</si>
  <si>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</si>
  <si>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</si>
  <si>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</si>
  <si>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</si>
  <si>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</si>
  <si>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</si>
  <si>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</si>
  <si>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</si>
  <si>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</si>
  <si>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</si>
  <si>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</si>
  <si>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</si>
  <si>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</si>
  <si>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</si>
  <si>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</si>
  <si>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</si>
  <si>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</si>
  <si>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</si>
  <si>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</si>
  <si>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</si>
  <si>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</si>
  <si>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</si>
  <si>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</si>
  <si>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</si>
  <si>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</si>
  <si>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</si>
  <si>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</si>
  <si>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</si>
  <si>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</si>
  <si>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</si>
  <si>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</si>
  <si>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</si>
  <si>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</si>
  <si>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</si>
  <si>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</si>
  <si>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</si>
  <si>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</si>
  <si>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</si>
  <si>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</si>
  <si>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</si>
  <si>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</si>
  <si>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</si>
  <si>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</si>
  <si>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</si>
  <si>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</si>
  <si>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</si>
  <si>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</si>
  <si>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</si>
  <si>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</si>
  <si>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</si>
  <si>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</si>
  <si>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</si>
  <si>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</si>
  <si>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</si>
  <si>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</si>
  <si>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</si>
  <si>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</si>
  <si>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</si>
  <si>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</si>
  <si>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</si>
  <si>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</si>
  <si>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</si>
  <si>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</si>
  <si>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</si>
  <si>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</si>
  <si>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</si>
  <si>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</si>
  <si>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</si>
  <si>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</si>
  <si>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</si>
  <si>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</si>
  <si>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</si>
  <si>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</si>
  <si>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</si>
  <si>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</si>
  <si>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</si>
  <si>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</si>
  <si>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</si>
  <si>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</si>
  <si>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</si>
  <si>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</si>
  <si>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</si>
  <si>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</si>
  <si>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</si>
  <si>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</si>
  <si>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</si>
  <si>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</si>
  <si>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</si>
  <si>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</si>
  <si>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</si>
  <si>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</si>
  <si>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</si>
  <si>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</si>
  <si>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</si>
  <si>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</si>
  <si>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</si>
  <si>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</si>
  <si>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</si>
  <si>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</si>
  <si>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</si>
  <si>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</si>
  <si>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</si>
  <si>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</si>
  <si>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</si>
  <si>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</si>
  <si>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</si>
  <si>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</si>
  <si>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</si>
  <si>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</si>
  <si>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</si>
  <si>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</si>
  <si>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</si>
  <si>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</si>
  <si>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</si>
  <si>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</si>
  <si>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</si>
  <si>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</si>
  <si>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</si>
  <si>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</si>
  <si>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</si>
  <si>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</si>
  <si>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</si>
  <si>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</si>
  <si>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</si>
  <si>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</si>
  <si>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</si>
  <si>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</si>
  <si>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</si>
  <si>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</si>
  <si>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</si>
  <si>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</si>
  <si>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</si>
  <si>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</si>
  <si>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</si>
  <si>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</si>
  <si>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</si>
  <si>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</si>
  <si>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</si>
  <si>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</si>
  <si>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</si>
  <si>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</si>
  <si>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</si>
  <si>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</si>
  <si>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</si>
  <si>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</si>
  <si>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</si>
  <si>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</si>
  <si>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</si>
  <si>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</si>
  <si>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</si>
  <si>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</si>
  <si>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</si>
  <si>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</si>
  <si>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</si>
  <si>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</si>
  <si>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</si>
  <si>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</si>
  <si>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</si>
  <si>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</si>
  <si>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</si>
  <si>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</si>
  <si>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</si>
  <si>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</si>
  <si>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</si>
  <si>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</si>
  <si>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</si>
  <si>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</si>
  <si>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</si>
  <si>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</si>
  <si>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</si>
  <si>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</si>
  <si>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</si>
  <si>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</si>
  <si>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</si>
  <si>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</si>
  <si>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</si>
  <si>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</si>
  <si>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</si>
  <si>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</si>
  <si>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</si>
  <si>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</si>
  <si>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</si>
  <si>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</si>
  <si>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</si>
  <si>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</si>
  <si>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</si>
  <si>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</si>
  <si>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</si>
  <si>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</si>
  <si>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</si>
  <si>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</si>
  <si>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</si>
  <si>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</si>
  <si>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</si>
  <si>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</si>
  <si>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</si>
  <si>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</si>
  <si>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</si>
  <si>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</si>
  <si>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</si>
  <si>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</si>
  <si>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</si>
  <si>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</si>
  <si>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</si>
  <si>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</si>
  <si>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</si>
  <si>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</si>
  <si>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</si>
  <si>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</si>
  <si>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</si>
  <si>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</si>
  <si>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</si>
  <si>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</si>
  <si>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</si>
  <si>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</si>
  <si>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</si>
  <si>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</si>
  <si>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</si>
  <si>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</si>
  <si>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</si>
  <si>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</si>
  <si>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</si>
  <si>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</si>
  <si>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</si>
  <si>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</si>
  <si>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</si>
  <si>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</si>
  <si>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</si>
  <si>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</si>
  <si>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</si>
  <si>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</si>
  <si>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</si>
  <si>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</si>
  <si>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</si>
  <si>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</si>
  <si>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</si>
  <si>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</si>
  <si>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</si>
  <si>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</si>
  <si>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</si>
  <si>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</si>
  <si>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</si>
  <si>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</si>
  <si>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</si>
  <si>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</si>
  <si>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</si>
  <si>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</si>
  <si>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</si>
  <si>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</si>
  <si>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</si>
  <si>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</si>
  <si>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</si>
  <si>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</si>
  <si>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</si>
  <si>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</si>
  <si>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</si>
  <si>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</si>
  <si>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</si>
  <si>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</si>
  <si>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</si>
  <si>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</si>
  <si>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</si>
  <si>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</si>
  <si>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</si>
  <si>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</si>
  <si>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</si>
  <si>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</si>
  <si>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</si>
  <si>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</si>
  <si>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</si>
  <si>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</si>
  <si>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</si>
  <si>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</si>
  <si>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</si>
  <si>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</si>
  <si>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</si>
  <si>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</si>
  <si>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</si>
  <si>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</si>
  <si>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</si>
  <si>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</si>
  <si>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</si>
  <si>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</si>
  <si>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</si>
  <si>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</si>
  <si>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</si>
  <si>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</si>
  <si>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</si>
  <si>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</si>
  <si>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</si>
  <si>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</si>
  <si>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</si>
  <si>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</si>
  <si>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</si>
  <si>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</si>
  <si>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</si>
  <si>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</si>
  <si>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</si>
  <si>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</si>
  <si>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</si>
  <si>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</si>
  <si>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</si>
  <si>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</si>
  <si>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</si>
  <si>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</si>
  <si>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</si>
  <si>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</si>
  <si>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</si>
  <si>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</si>
  <si>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</si>
  <si>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</si>
  <si>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</si>
  <si>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</si>
  <si>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</si>
  <si>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</si>
  <si>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</si>
  <si>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</si>
  <si>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</si>
  <si>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</si>
  <si>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</si>
  <si>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</si>
  <si>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</si>
  <si>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</si>
  <si>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</si>
  <si>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</si>
  <si>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</si>
  <si>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</si>
  <si>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</si>
  <si>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</si>
  <si>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</si>
  <si>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</si>
  <si>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</si>
  <si>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</si>
  <si>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</si>
  <si>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</si>
  <si>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</si>
  <si>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</si>
  <si>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</si>
  <si>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</si>
  <si>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</si>
  <si>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</si>
  <si>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</si>
  <si>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</si>
  <si>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</si>
  <si>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</si>
  <si>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</si>
  <si>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</si>
  <si>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</si>
  <si>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</si>
  <si>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</si>
  <si>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</si>
  <si>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</si>
  <si>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</si>
  <si>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</si>
  <si>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</si>
  <si>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</si>
  <si>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</si>
  <si>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</si>
  <si>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</si>
  <si>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</si>
  <si>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</si>
  <si>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</si>
  <si>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</si>
  <si>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</si>
  <si>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</si>
  <si>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</si>
  <si>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</si>
  <si>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</si>
  <si>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</si>
  <si>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</si>
  <si>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</si>
  <si>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</si>
  <si>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</si>
  <si>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</si>
  <si>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</si>
  <si>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</si>
  <si>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</si>
  <si>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</si>
  <si>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</si>
  <si>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</si>
  <si>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</si>
  <si>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</si>
  <si>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</si>
  <si>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</si>
  <si>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</si>
  <si>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</si>
  <si>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</si>
  <si>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</si>
  <si>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</si>
  <si>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</si>
  <si>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</si>
  <si>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</si>
  <si>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</si>
  <si>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</si>
  <si>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</si>
  <si>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</si>
  <si>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</si>
  <si>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</si>
  <si>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</si>
  <si>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</si>
  <si>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</si>
  <si>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</si>
  <si>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</si>
  <si>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</si>
  <si>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</si>
  <si>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</si>
  <si>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</si>
  <si>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</si>
  <si>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</si>
  <si>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</si>
  <si>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</si>
  <si>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</si>
  <si>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</si>
  <si>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</si>
  <si>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</si>
  <si>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</si>
  <si>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</si>
  <si>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</si>
  <si>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</si>
  <si>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</si>
  <si>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</si>
  <si>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</si>
  <si>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</si>
  <si>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</si>
  <si>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</si>
  <si>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</si>
  <si>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</si>
  <si>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</si>
  <si>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</si>
  <si>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</si>
  <si>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</si>
  <si>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</si>
  <si>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</si>
  <si>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</si>
  <si>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</si>
  <si>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</si>
  <si>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</si>
  <si>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</si>
  <si>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</si>
  <si>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</si>
  <si>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</si>
  <si>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</si>
  <si>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</si>
  <si>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</si>
  <si>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</si>
  <si>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</si>
  <si>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</si>
  <si>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</si>
  <si>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</si>
  <si>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</si>
  <si>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</si>
  <si>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</si>
  <si>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</si>
  <si>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</si>
  <si>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</si>
  <si>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</si>
  <si>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</si>
  <si>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</si>
  <si>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</si>
  <si>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</si>
  <si>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</si>
  <si>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</si>
  <si>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</si>
  <si>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</si>
  <si>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</si>
  <si>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</si>
  <si>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</si>
  <si>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</si>
  <si>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</si>
  <si>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</si>
  <si>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</si>
  <si>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</si>
  <si>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</si>
  <si>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</si>
  <si>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</si>
  <si>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</si>
  <si>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</si>
  <si>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</si>
  <si>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</si>
  <si>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</si>
  <si>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</si>
  <si>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</si>
  <si>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</si>
  <si>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</si>
  <si>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</si>
  <si>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</si>
  <si>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</si>
  <si>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</si>
  <si>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</si>
  <si>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</si>
  <si>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</si>
  <si>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</si>
  <si>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</si>
  <si>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</si>
  <si>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</si>
  <si>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</si>
  <si>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</si>
  <si>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</si>
  <si>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</si>
  <si>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</si>
  <si>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</si>
  <si>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</si>
  <si>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</si>
  <si>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</si>
  <si>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</si>
  <si>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</si>
  <si>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</si>
  <si>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</si>
  <si>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</si>
  <si>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</si>
  <si>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</si>
  <si>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</si>
  <si>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</si>
  <si>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</si>
  <si>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</si>
  <si>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</si>
  <si>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</si>
  <si>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</si>
  <si>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</si>
  <si>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</si>
  <si>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</si>
  <si>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</si>
  <si>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</si>
  <si>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</si>
  <si>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</si>
  <si>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</si>
  <si>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</si>
  <si>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</si>
  <si>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</si>
  <si>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</si>
  <si>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</si>
  <si>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</si>
  <si>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</si>
  <si>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</si>
  <si>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</si>
  <si>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</si>
  <si>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</si>
  <si>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</si>
  <si>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</si>
  <si>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</si>
  <si>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</si>
  <si>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</si>
  <si>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</si>
  <si>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</si>
  <si>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</si>
  <si>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</si>
  <si>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</si>
  <si>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</si>
  <si>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</si>
  <si>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</si>
  <si>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</si>
  <si>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</si>
  <si>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</si>
  <si>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</si>
  <si>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</si>
  <si>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</si>
  <si>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</si>
  <si>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</si>
  <si>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</si>
  <si>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</si>
  <si>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</si>
  <si>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</si>
  <si>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</si>
  <si>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</si>
  <si>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</si>
  <si>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</si>
  <si>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</si>
  <si>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</si>
  <si>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</si>
  <si>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</si>
  <si>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</si>
  <si>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</si>
  <si>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</si>
  <si>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</si>
  <si>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</si>
  <si>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</si>
  <si>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</si>
  <si>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</si>
  <si>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</si>
  <si>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</si>
  <si>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</si>
  <si>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</si>
  <si>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</si>
  <si>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</si>
  <si>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</si>
  <si>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</si>
  <si>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</si>
  <si>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</si>
  <si>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</si>
  <si>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</si>
  <si>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</si>
  <si>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</si>
  <si>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</si>
  <si>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</si>
  <si>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</si>
  <si>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</si>
  <si>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</si>
  <si>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</si>
  <si>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</si>
  <si>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</si>
  <si>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</si>
  <si>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</si>
  <si>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</si>
  <si>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</si>
  <si>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</si>
  <si>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</si>
  <si>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</si>
  <si>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</si>
  <si>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</si>
  <si>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</si>
  <si>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</si>
  <si>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</si>
  <si>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</si>
  <si>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</si>
  <si>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</si>
  <si>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</si>
  <si>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</si>
  <si>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</si>
  <si>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</si>
  <si>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</si>
  <si>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</si>
  <si>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</si>
  <si>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</si>
  <si>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</si>
  <si>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</si>
  <si>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</si>
  <si>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</si>
  <si>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</si>
  <si>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</si>
  <si>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</si>
  <si>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</si>
  <si>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</si>
  <si>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</si>
  <si>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</si>
  <si>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</si>
  <si>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</si>
  <si>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</si>
  <si>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</si>
  <si>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</si>
  <si>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</si>
  <si>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</si>
  <si>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</si>
  <si>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</si>
  <si>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</si>
  <si>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</si>
  <si>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</si>
  <si>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</si>
  <si>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</si>
  <si>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</si>
  <si>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</si>
  <si>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</si>
  <si>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</si>
  <si>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</si>
  <si>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</si>
  <si>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</si>
  <si>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</si>
  <si>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</si>
  <si>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</si>
  <si>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</si>
  <si>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</si>
  <si>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</si>
  <si>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</si>
  <si>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</si>
  <si>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</si>
  <si>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</si>
  <si>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</si>
  <si>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</si>
  <si>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</si>
  <si>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</si>
  <si>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</si>
  <si>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</si>
  <si>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</si>
  <si>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</si>
  <si>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</si>
  <si>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</si>
  <si>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</si>
  <si>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</si>
  <si>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</si>
  <si>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</si>
  <si>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</si>
  <si>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</si>
  <si>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</si>
  <si>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</si>
  <si>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</si>
  <si>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</si>
  <si>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</si>
  <si>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</si>
  <si>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</si>
  <si>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</si>
  <si>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</si>
  <si>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</si>
  <si>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</si>
  <si>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</si>
  <si>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</si>
  <si>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</si>
  <si>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</si>
  <si>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</si>
  <si>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</si>
  <si>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</si>
  <si>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</si>
  <si>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</si>
  <si>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</si>
  <si>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</si>
  <si>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</si>
  <si>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</si>
  <si>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</si>
  <si>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</si>
  <si>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</si>
  <si>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</si>
  <si>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</si>
  <si>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</si>
  <si>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</si>
  <si>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</si>
  <si>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</si>
  <si>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</si>
  <si>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</si>
  <si>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</si>
  <si>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</si>
  <si>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</si>
  <si>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</si>
  <si>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</si>
  <si>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</si>
  <si>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</si>
  <si>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</si>
  <si>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</si>
  <si>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</si>
  <si>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</si>
  <si>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</si>
  <si>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</si>
  <si>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</si>
  <si>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</si>
  <si>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</si>
  <si>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</si>
  <si>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</si>
  <si>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</si>
  <si>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</si>
  <si>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</si>
  <si>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</si>
  <si>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</si>
  <si>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</si>
  <si>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</si>
  <si>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</si>
  <si>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</si>
  <si>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</si>
  <si>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</si>
  <si>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</si>
  <si>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</si>
  <si>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</si>
  <si>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</si>
  <si>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</si>
  <si>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</si>
  <si>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</si>
  <si>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</si>
  <si>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</si>
  <si>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</si>
  <si>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</si>
  <si>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</si>
  <si>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</si>
  <si>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</si>
  <si>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</si>
  <si>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</si>
  <si>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</si>
  <si>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</si>
  <si>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</si>
  <si>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</si>
  <si>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</si>
  <si>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</si>
  <si>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</si>
  <si>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</si>
  <si>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</si>
  <si>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</si>
  <si>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</si>
  <si>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</si>
  <si>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</si>
  <si>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</si>
  <si>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</si>
  <si>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</si>
  <si>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</si>
  <si>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</si>
  <si>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</si>
  <si>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</si>
  <si>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</si>
  <si>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</si>
  <si>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</si>
  <si>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</si>
  <si>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</si>
  <si>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</si>
  <si>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</si>
  <si>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</si>
  <si>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</si>
  <si>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</si>
  <si>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</si>
  <si>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</si>
  <si>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</si>
  <si>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</si>
  <si>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</si>
  <si>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</si>
  <si>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</si>
  <si>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</si>
  <si>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</si>
  <si>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</si>
  <si>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</si>
  <si>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</si>
  <si>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</si>
  <si>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</si>
  <si>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</si>
  <si>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</si>
  <si>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</si>
  <si>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</si>
  <si>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</si>
  <si>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</si>
  <si>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</si>
  <si>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</si>
  <si>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</si>
  <si>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</si>
  <si>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</si>
  <si>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</si>
  <si>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</si>
  <si>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</si>
  <si>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</si>
  <si>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</si>
  <si>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</si>
  <si>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</si>
  <si>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</si>
  <si>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</si>
  <si>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</si>
  <si>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</si>
  <si>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</si>
  <si>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</si>
  <si>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</si>
  <si>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</si>
  <si>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</si>
  <si>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</si>
  <si>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</si>
  <si>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</si>
  <si>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</si>
  <si>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</si>
  <si>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</si>
  <si>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</si>
  <si>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</si>
  <si>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</si>
  <si>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</si>
  <si>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</si>
  <si>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</si>
  <si>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</si>
  <si>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</si>
  <si>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</si>
  <si>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</si>
  <si>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</si>
  <si>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</si>
  <si>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</si>
  <si>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</si>
  <si>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</si>
  <si>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</si>
  <si>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</si>
  <si>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</si>
  <si>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</si>
  <si>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</si>
  <si>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</si>
  <si>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</si>
  <si>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</si>
  <si>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</si>
  <si>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</si>
  <si>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</si>
  <si>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</si>
  <si>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</si>
  <si>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</si>
  <si>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</si>
  <si>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</si>
  <si>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</si>
  <si>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</si>
  <si>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</si>
  <si>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</si>
  <si>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</si>
  <si>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</si>
  <si>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</si>
  <si>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</si>
  <si>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</si>
  <si>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</si>
  <si>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</si>
  <si>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</si>
  <si>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</si>
  <si>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</si>
  <si>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</si>
  <si>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</si>
  <si>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</si>
  <si>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</si>
  <si>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</si>
  <si>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</si>
  <si>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</si>
  <si>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</si>
  <si>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</si>
  <si>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</si>
  <si>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</si>
  <si>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</si>
  <si>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</si>
  <si>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</si>
  <si>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</si>
  <si>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</si>
  <si>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</si>
  <si>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</si>
  <si>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</si>
  <si>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</si>
  <si>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</si>
  <si>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</si>
  <si>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</si>
  <si>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</si>
  <si>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</si>
  <si>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</si>
  <si>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</si>
  <si>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</si>
  <si>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</si>
  <si>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</si>
  <si>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</si>
  <si>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</si>
  <si>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</si>
  <si>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</si>
  <si>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</si>
  <si>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</si>
  <si>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</si>
  <si>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</si>
  <si>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</si>
  <si>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</si>
  <si>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</si>
  <si>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</si>
  <si>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</si>
  <si>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</si>
  <si>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</si>
  <si>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</si>
  <si>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</si>
  <si>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</si>
  <si>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</si>
  <si>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</si>
  <si>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</si>
  <si>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</si>
  <si>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</si>
  <si>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</si>
  <si>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</si>
  <si>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</si>
  <si>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</si>
  <si>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</si>
  <si>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</si>
  <si>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</si>
  <si>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</si>
  <si>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</si>
  <si>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</si>
  <si>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</si>
  <si>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</si>
  <si>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</si>
  <si>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</si>
  <si>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</si>
  <si>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</si>
  <si>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</si>
  <si>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</si>
  <si>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</si>
  <si>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</si>
  <si>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</si>
  <si>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</si>
  <si>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</si>
  <si>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</si>
  <si>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</si>
  <si>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</si>
  <si>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</si>
  <si>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</si>
  <si>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</si>
  <si>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</si>
  <si>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</si>
  <si>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</si>
  <si>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</si>
  <si>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</si>
  <si>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</si>
  <si>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</si>
  <si>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</si>
  <si>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</si>
  <si>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</si>
  <si>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</si>
  <si>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</si>
  <si>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</si>
  <si>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</si>
  <si>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</si>
  <si>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</si>
  <si>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</si>
  <si>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</si>
  <si>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</si>
  <si>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</si>
  <si>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</si>
  <si>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</si>
  <si>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</si>
  <si>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</si>
  <si>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</si>
  <si>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</si>
  <si>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</si>
  <si>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</si>
  <si>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</si>
  <si>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</si>
  <si>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</si>
  <si>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</si>
  <si>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</si>
  <si>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</si>
  <si>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</si>
  <si>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</si>
  <si>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</si>
  <si>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</si>
  <si>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</si>
  <si>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</si>
  <si>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</si>
  <si>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</si>
  <si>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</si>
  <si>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</si>
  <si>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</si>
  <si>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</si>
  <si>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</si>
  <si>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</si>
  <si>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</si>
  <si>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</si>
  <si>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</si>
  <si>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</si>
  <si>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</si>
  <si>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</si>
  <si>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</si>
  <si>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</si>
  <si>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</si>
  <si>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</si>
  <si>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</si>
  <si>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</si>
  <si>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</si>
  <si>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</si>
  <si>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</si>
  <si>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</si>
  <si>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</si>
  <si>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</si>
  <si>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</si>
  <si>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</si>
  <si>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</si>
  <si>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</si>
  <si>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</si>
  <si>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</si>
  <si>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</si>
  <si>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</si>
  <si>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</si>
  <si>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</si>
  <si>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</si>
  <si>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</si>
  <si>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</si>
  <si>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</si>
  <si>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</si>
  <si>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</si>
  <si>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</si>
  <si>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</si>
  <si>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</si>
  <si>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</si>
  <si>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</si>
  <si>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</si>
  <si>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</si>
  <si>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</si>
  <si>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</si>
  <si>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</si>
  <si>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</si>
  <si>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</si>
  <si>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</si>
  <si>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</si>
  <si>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</si>
  <si>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</si>
  <si>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</si>
  <si>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</si>
  <si>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</si>
  <si>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</si>
  <si>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</si>
  <si>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</si>
  <si>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</si>
  <si>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</si>
  <si>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</si>
  <si>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</si>
  <si>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</si>
  <si>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</si>
  <si>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</si>
  <si>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</si>
  <si>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</si>
  <si>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</si>
  <si>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</si>
  <si>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</si>
  <si>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</si>
  <si>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</si>
  <si>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</si>
  <si>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</si>
  <si>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</si>
  <si>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</si>
  <si>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</si>
  <si>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</si>
  <si>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</si>
  <si>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</si>
  <si>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</si>
  <si>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</si>
  <si>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</si>
  <si>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</si>
  <si>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</si>
  <si>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</si>
  <si>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</si>
  <si>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</si>
  <si>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</si>
  <si>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</si>
  <si>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</si>
  <si>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</si>
  <si>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</si>
  <si>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</si>
  <si>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</si>
  <si>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</si>
  <si>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</si>
  <si>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</si>
  <si>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</si>
  <si>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</si>
  <si>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</si>
  <si>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</si>
  <si>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</si>
  <si>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</si>
  <si>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</si>
  <si>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</si>
  <si>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</si>
  <si>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</si>
  <si>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</si>
  <si>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</si>
  <si>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</si>
  <si>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</si>
  <si>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</si>
  <si>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</si>
  <si>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</si>
  <si>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</si>
  <si>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</si>
  <si>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</si>
  <si>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</si>
  <si>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</si>
  <si>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</si>
  <si>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</si>
  <si>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</si>
  <si>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</si>
  <si>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</si>
  <si>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</si>
  <si>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</si>
  <si>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</si>
  <si>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</si>
  <si>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</si>
  <si>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</si>
  <si>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</si>
  <si>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</si>
  <si>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</si>
  <si>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</si>
  <si>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</si>
  <si>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</si>
  <si>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</si>
  <si>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</si>
  <si>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</si>
  <si>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</si>
  <si>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</si>
  <si>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</si>
  <si>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</si>
  <si>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</si>
  <si>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</si>
  <si>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</si>
  <si>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</si>
  <si>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</si>
  <si>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</si>
  <si>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</si>
  <si>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</si>
  <si>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</si>
  <si>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</si>
  <si>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</si>
  <si>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</si>
  <si>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</si>
  <si>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</si>
  <si>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</si>
  <si>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</si>
  <si>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</si>
  <si>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</si>
  <si>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</si>
  <si>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</si>
  <si>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</si>
  <si>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</si>
  <si>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</si>
  <si>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</si>
  <si>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</si>
  <si>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</si>
  <si>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</si>
  <si>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</si>
  <si>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</si>
  <si>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</si>
  <si>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</si>
  <si>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</si>
  <si>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</si>
  <si>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</si>
  <si>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</si>
  <si>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</si>
  <si>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</si>
  <si>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</si>
  <si>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</si>
  <si>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</si>
  <si>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</si>
  <si>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</si>
  <si>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</si>
  <si>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</si>
  <si>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</si>
  <si>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</si>
  <si>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</si>
  <si>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</si>
  <si>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</si>
  <si>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</si>
  <si>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</si>
  <si>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</si>
  <si>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</si>
  <si>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</si>
  <si>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</si>
  <si>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</si>
  <si>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</si>
  <si>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</si>
  <si>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</si>
  <si>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</si>
  <si>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</si>
  <si>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</si>
  <si>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</si>
  <si>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</si>
  <si>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</si>
  <si>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</si>
  <si>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</si>
  <si>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</si>
  <si>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</si>
  <si>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</si>
  <si>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</si>
  <si>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</si>
  <si>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</si>
  <si>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</si>
  <si>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</si>
  <si>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</si>
  <si>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</si>
  <si>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</si>
  <si>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</si>
  <si>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</si>
  <si>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</si>
  <si>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</si>
  <si>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</si>
  <si>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</si>
  <si>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</si>
  <si>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</si>
  <si>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</si>
  <si>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</si>
  <si>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</si>
  <si>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</si>
  <si>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</si>
  <si>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</si>
  <si>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</si>
  <si>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</si>
  <si>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</si>
  <si>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</si>
  <si>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</si>
  <si>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</si>
  <si>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</si>
  <si>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</si>
  <si>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</si>
  <si>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</si>
  <si>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</si>
  <si>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</si>
  <si>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</si>
  <si>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</si>
  <si>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</si>
  <si>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</si>
  <si>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</si>
  <si>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</si>
  <si>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</si>
  <si>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</si>
  <si>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</si>
  <si>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</si>
  <si>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</si>
  <si>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</si>
  <si>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</si>
  <si>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</si>
  <si>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</si>
  <si>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</si>
  <si>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</si>
  <si>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</si>
  <si>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</si>
  <si>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</si>
  <si>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</si>
  <si>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</si>
  <si>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</si>
  <si>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</si>
  <si>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</si>
  <si>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</si>
  <si>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</si>
  <si>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</si>
  <si>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</si>
  <si>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</si>
  <si>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</si>
  <si>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</si>
  <si>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</si>
  <si>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</si>
  <si>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</si>
  <si>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</si>
  <si>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</si>
  <si>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</si>
  <si>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</si>
  <si>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</si>
  <si>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</si>
  <si>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</si>
  <si>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</si>
  <si>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</si>
  <si>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</si>
  <si>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</si>
  <si>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</si>
  <si>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</si>
  <si>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</si>
  <si>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</si>
  <si>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</si>
  <si>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</si>
  <si>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</si>
  <si>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</si>
  <si>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</si>
  <si>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</si>
  <si>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</si>
  <si>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</si>
  <si>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</si>
  <si>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</si>
  <si>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</si>
  <si>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</si>
  <si>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</si>
  <si>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</si>
  <si>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</si>
  <si>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</si>
  <si>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</si>
  <si>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</si>
  <si>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</si>
  <si>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</si>
  <si>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</si>
  <si>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</si>
  <si>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</si>
  <si>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</si>
  <si>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</si>
  <si>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</si>
  <si>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</si>
  <si>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</si>
  <si>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</si>
  <si>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</si>
  <si>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</si>
  <si>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</si>
  <si>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</si>
  <si>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</si>
  <si>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</si>
  <si>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</si>
  <si>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</si>
  <si>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</si>
  <si>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</si>
  <si>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</si>
  <si>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</si>
  <si>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</si>
  <si>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</si>
  <si>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</si>
  <si>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</si>
  <si>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</si>
  <si>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</si>
  <si>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</si>
  <si>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</si>
  <si>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</si>
  <si>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</si>
  <si>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</si>
  <si>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</si>
  <si>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</si>
  <si>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</si>
  <si>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</si>
  <si>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</si>
  <si>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</si>
  <si>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</si>
  <si>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</si>
  <si>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</si>
  <si>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</si>
  <si>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</si>
  <si>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</si>
  <si>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</si>
  <si>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</si>
  <si>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</si>
  <si>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</si>
  <si>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</si>
  <si>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</si>
  <si>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</si>
  <si>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</si>
  <si>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</si>
  <si>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</si>
  <si>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</si>
  <si>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</si>
  <si>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</si>
  <si>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</si>
  <si>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</si>
  <si>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</si>
  <si>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</si>
  <si>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</si>
  <si>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</si>
  <si>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</si>
  <si>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</si>
  <si>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</si>
  <si>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</si>
  <si>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</si>
  <si>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</si>
  <si>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</si>
  <si>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</si>
  <si>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</si>
  <si>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</si>
  <si>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</si>
  <si>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</si>
  <si>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</si>
  <si>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</si>
  <si>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</si>
  <si>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</si>
  <si>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</si>
  <si>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</si>
  <si>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</si>
  <si>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</si>
  <si>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</si>
  <si>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</si>
  <si>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</si>
  <si>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</si>
  <si>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</si>
  <si>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</si>
  <si>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</si>
  <si>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</si>
  <si>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</si>
  <si>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</si>
  <si>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</si>
  <si>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</si>
  <si>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</si>
  <si>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</si>
  <si>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</si>
  <si>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</si>
  <si>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</si>
  <si>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</si>
  <si>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</si>
  <si>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</si>
  <si>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</si>
  <si>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</si>
  <si>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</si>
  <si>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</si>
  <si>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</si>
  <si>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</si>
  <si>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</si>
  <si>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</si>
  <si>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</si>
  <si>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</si>
  <si>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</si>
  <si>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</si>
  <si>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</si>
  <si>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</si>
  <si>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</si>
  <si>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</si>
  <si>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</si>
  <si>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</si>
  <si>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</si>
  <si>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</si>
  <si>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</si>
  <si>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</si>
  <si>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</si>
  <si>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</si>
  <si>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</si>
  <si>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</si>
  <si>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</si>
  <si>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</si>
  <si>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</si>
  <si>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</si>
  <si>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</si>
  <si>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</si>
  <si>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</si>
  <si>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</si>
  <si>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</si>
  <si>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</si>
  <si>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</si>
  <si>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</si>
  <si>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</si>
  <si>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</si>
  <si>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</si>
  <si>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</si>
  <si>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</si>
  <si>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</si>
  <si>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</si>
  <si>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</si>
  <si>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</si>
  <si>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</si>
  <si>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</si>
  <si>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</si>
  <si>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</si>
  <si>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</si>
  <si>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</si>
  <si>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</si>
  <si>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</si>
  <si>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</si>
  <si>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</si>
  <si>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</si>
  <si>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</si>
  <si>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</si>
  <si>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</si>
  <si>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</si>
  <si>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</si>
  <si>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</si>
  <si>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</si>
  <si>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</si>
  <si>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</si>
  <si>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</si>
  <si>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</si>
  <si>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</si>
  <si>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</si>
  <si>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</si>
  <si>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</si>
  <si>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</si>
  <si>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</si>
  <si>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</si>
  <si>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</si>
  <si>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</si>
  <si>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</si>
  <si>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</si>
  <si>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</si>
  <si>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</si>
  <si>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</si>
  <si>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</si>
  <si>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</si>
  <si>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</si>
  <si>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</si>
  <si>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</si>
  <si>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</si>
  <si>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</si>
  <si>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</si>
  <si>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</si>
  <si>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</si>
  <si>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</si>
  <si>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</si>
  <si>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</si>
  <si>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</si>
  <si>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</si>
  <si>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</si>
  <si>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</si>
  <si>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</si>
  <si>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</si>
  <si>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</si>
  <si>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</si>
  <si>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</si>
  <si>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</si>
  <si>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</si>
  <si>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</si>
  <si>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</si>
  <si>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</si>
  <si>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</si>
  <si>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</si>
  <si>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</si>
  <si>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</si>
  <si>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</si>
  <si>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</si>
  <si>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</si>
  <si>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</si>
  <si>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</si>
  <si>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</si>
  <si>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</si>
  <si>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</si>
  <si>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</si>
  <si>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</si>
  <si>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</si>
  <si>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</si>
  <si>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</si>
  <si>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</si>
  <si>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</si>
  <si>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</si>
  <si>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</si>
  <si>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</si>
  <si>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</si>
  <si>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</si>
  <si>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</si>
  <si>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</si>
  <si>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</si>
  <si>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</si>
  <si>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</si>
  <si>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</si>
  <si>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</si>
  <si>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</si>
  <si>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</si>
  <si>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</si>
  <si>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</si>
  <si>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</si>
  <si>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</si>
  <si>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</si>
  <si>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</si>
  <si>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</si>
  <si>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</si>
  <si>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</si>
  <si>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</si>
  <si>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</si>
  <si>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</si>
  <si>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</si>
  <si>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</si>
  <si>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</si>
  <si>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</si>
  <si>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</si>
  <si>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</si>
  <si>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</si>
  <si>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</si>
  <si>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</si>
  <si>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</si>
  <si>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</si>
  <si>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</si>
  <si>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</si>
  <si>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</si>
  <si>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</si>
  <si>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</si>
  <si>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</si>
  <si>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</si>
  <si>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</si>
  <si>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</si>
  <si>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</si>
  <si>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</si>
  <si>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</si>
  <si>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</si>
  <si>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</si>
  <si>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</si>
  <si>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</si>
  <si>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</si>
  <si>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</si>
  <si>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</si>
  <si>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</si>
  <si>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</si>
  <si>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</si>
  <si>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</si>
  <si>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</si>
  <si>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</si>
  <si>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</si>
  <si>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</si>
  <si>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</si>
  <si>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</si>
  <si>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</si>
  <si>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</si>
  <si>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</si>
  <si>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</si>
  <si>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</si>
  <si>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</si>
  <si>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</si>
  <si>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</si>
  <si>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</si>
  <si>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</si>
  <si>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</si>
  <si>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</si>
  <si>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</si>
  <si>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</si>
  <si>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</si>
  <si>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</si>
  <si>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</si>
  <si>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</si>
  <si>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</si>
  <si>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</si>
  <si>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</si>
  <si>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</si>
  <si>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</si>
  <si>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</si>
  <si>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</si>
  <si>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</si>
  <si>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</si>
  <si>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</si>
  <si>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</si>
  <si>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</si>
  <si>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</si>
  <si>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</si>
  <si>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</si>
  <si>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</si>
  <si>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</si>
  <si>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</si>
  <si>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</si>
  <si>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</si>
  <si>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</si>
  <si>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</si>
  <si>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</si>
  <si>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</si>
  <si>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</si>
  <si>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</si>
  <si>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</si>
  <si>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</si>
  <si>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</si>
  <si>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</si>
  <si>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</si>
  <si>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</si>
  <si>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</si>
  <si>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</si>
  <si>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</si>
  <si>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</si>
  <si>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</si>
  <si>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</si>
  <si>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</si>
  <si>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</si>
  <si>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</si>
  <si>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</si>
  <si>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</si>
  <si>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</si>
  <si>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</si>
  <si>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</si>
  <si>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</si>
  <si>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</si>
  <si>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</si>
  <si>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</si>
  <si>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</si>
  <si>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</si>
  <si>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</si>
  <si>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</si>
  <si>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</si>
  <si>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</si>
  <si>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</si>
  <si>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</si>
  <si>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</si>
  <si>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</si>
  <si>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</si>
  <si>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</si>
  <si>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</si>
  <si>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</si>
  <si>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</si>
  <si>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</si>
  <si>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</si>
  <si>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</si>
  <si>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</si>
  <si>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</si>
  <si>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</si>
  <si>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</si>
  <si>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</si>
  <si>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</si>
  <si>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</si>
  <si>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</si>
  <si>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</si>
  <si>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</si>
  <si>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</si>
  <si>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</si>
  <si>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</si>
  <si>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</si>
  <si>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</si>
  <si>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</si>
  <si>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</si>
  <si>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</si>
  <si>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</si>
  <si>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</si>
  <si>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</si>
  <si>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</si>
  <si>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</si>
  <si>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</si>
  <si>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</si>
  <si>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</si>
  <si>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</si>
  <si>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</si>
  <si>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</si>
  <si>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</si>
  <si>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</si>
  <si>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</si>
  <si>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</si>
  <si>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</si>
  <si>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</si>
  <si>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</si>
  <si>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</si>
  <si>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</si>
  <si>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</si>
  <si>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</si>
  <si>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</si>
  <si>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</si>
  <si>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</si>
  <si>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</si>
  <si>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</si>
  <si>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</si>
  <si>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</si>
  <si>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</si>
  <si>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</si>
  <si>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</si>
  <si>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</si>
  <si>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</si>
  <si>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</si>
  <si>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</si>
  <si>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</si>
  <si>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Avg Days to Deliver</t>
  </si>
  <si>
    <t>Display Data</t>
  </si>
  <si>
    <t>Row Labels</t>
  </si>
  <si>
    <t>Grand Total</t>
  </si>
  <si>
    <t>Unknown</t>
  </si>
  <si>
    <t>Male</t>
  </si>
  <si>
    <t>Female</t>
  </si>
  <si>
    <t>Other</t>
  </si>
  <si>
    <t>Column Labels</t>
  </si>
  <si>
    <t>more than 10</t>
  </si>
  <si>
    <t>6-10</t>
  </si>
  <si>
    <t>Count of Product</t>
  </si>
  <si>
    <t>qty</t>
  </si>
  <si>
    <t>amt.</t>
  </si>
  <si>
    <t>state</t>
  </si>
  <si>
    <t>county</t>
  </si>
  <si>
    <t>Count of Ship Date</t>
  </si>
  <si>
    <t>Jan</t>
  </si>
  <si>
    <t>Feb</t>
  </si>
  <si>
    <t>Mar</t>
  </si>
  <si>
    <t>No.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</si>
</sst>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5C]#,##0.00"/>
  </numFmts>
  <fonts count="5" x14ac:knownFonts="1">
    <font>
      <sz val="11"/>
      <color theme="1"/>
      <name val="Aptos Narrow"/>
      <family val="2"/>
      <scheme val="minor"/>
    </font>
    <font>
      <b/>
      <sz val="11"/>
      <color theme="1"/>
      <name val="Aptos Narrow"/>
      <family val="2"/>
      <scheme val="minor"/>
    </font>
    <font>
      <b/>
      <sz val="11"/>
      <color theme="0"/>
      <name val="Aptos Narrow"/>
      <family val="2"/>
      <scheme val="minor"/>
    </font>
    <font>
      <b/>
      <sz val="11"/>
      <color theme="8" tint="-0.249977111117893"/>
      <name val="Aptos Narrow"/>
      <family val="2"/>
      <scheme val="minor"/>
    </font>
    <font>
      <sz val="11"/>
      <color theme="1" tint="0.249977111117893"/>
      <name val="Aptos Narrow"/>
      <family val="2"/>
      <scheme val="minor"/>
    </font>
  </fonts>
  <fills count="7">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theme="2" tint="-9.9978637043366805E-2"/>
        <bgColor indexed="64"/>
      </patternFill>
    </fill>
    <fill>
      <patternFill patternType="solid">
        <fgColor theme="3"/>
        <bgColor indexed="64"/>
      </patternFill>
    </fill>
    <fill>
      <patternFill patternType="solid">
        <fgColor theme="3" tint="-0.499984740745262"/>
        <bgColor indexed="64"/>
      </patternFill>
    </fill>
  </fills>
  <borders count="8">
    <border>
      <left/>
      <right/>
      <top/>
      <bottom/>
      <diagonal/>
    </border>
    <border>
      <left/>
      <right/>
      <top/>
      <bottom style="thin">
        <color theme="4" tint="0.39997558519241921"/>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thin">
        <color theme="8" tint="0.39997558519241921"/>
      </left>
      <right/>
      <top style="thin">
        <color theme="8" tint="0.39997558519241921"/>
      </top>
      <bottom/>
      <diagonal/>
    </border>
    <border>
      <left/>
      <right/>
      <top style="thin">
        <color theme="8" tint="0.39997558519241921"/>
      </top>
      <bottom/>
      <diagonal/>
    </border>
    <border>
      <left/>
      <right style="thin">
        <color theme="8" tint="0.39997558519241921"/>
      </right>
      <top style="thin">
        <color theme="8" tint="0.39997558519241921"/>
      </top>
      <bottom/>
      <diagonal/>
    </border>
  </borders>
  <cellStyleXfs count="1">
    <xf numFmtId="0" fontId="0" fillId="0" borderId="0"/>
  </cellStyleXfs>
  <cellXfs count="24">
    <xf numFmtId="0" fontId="0" fillId="0" borderId="0" xfId="0"/>
    <xf numFmtId="15" fontId="0" fillId="0" borderId="0" xfId="0" applyNumberFormat="1"/>
    <xf numFmtId="0" fontId="0" fillId="0" borderId="0" xfId="0" applyAlignment="1">
      <alignment horizontal="left" indent="1"/>
    </xf>
    <xf numFmtId="0" fontId="0" fillId="3" borderId="2" xfId="0" applyFill="1" applyBorder="1"/>
    <xf numFmtId="0" fontId="0" fillId="3" borderId="3" xfId="0" applyFill="1" applyBorder="1"/>
    <xf numFmtId="0" fontId="2" fillId="2" borderId="5" xfId="0" applyFont="1" applyFill="1" applyBorder="1"/>
    <xf numFmtId="0" fontId="2" fillId="2" borderId="6" xfId="0" applyFont="1" applyFill="1" applyBorder="1"/>
    <xf numFmtId="0" fontId="2" fillId="2" borderId="7" xfId="0" applyFont="1" applyFill="1" applyBorder="1"/>
    <xf numFmtId="1" fontId="0" fillId="3" borderId="3" xfId="0" applyNumberFormat="1" applyFill="1" applyBorder="1"/>
    <xf numFmtId="164" fontId="0" fillId="3" borderId="3" xfId="0" applyNumberFormat="1" applyFill="1" applyBorder="1"/>
    <xf numFmtId="164" fontId="0" fillId="3" borderId="4" xfId="0" applyNumberFormat="1" applyFill="1" applyBorder="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10" fontId="0" fillId="0" borderId="0" xfId="0" applyNumberFormat="1"/>
    <xf numFmtId="0" fontId="4" fillId="4" borderId="0" xfId="0" applyFont="1" applyFill="1" applyAlignment="1">
      <alignment horizontal="left"/>
    </xf>
    <xf numFmtId="0" fontId="0" fillId="4" borderId="0" xfId="0" applyFill="1"/>
    <xf numFmtId="0" fontId="1" fillId="0" borderId="1" xfId="0" applyFont="1" applyBorder="1"/>
    <xf numFmtId="0" fontId="3" fillId="0" borderId="0" xfId="0" applyFont="1" applyAlignment="1">
      <alignment horizontal="center"/>
    </xf>
    <xf numFmtId="0" fontId="0" fillId="0" borderId="0" xfId="0" applyAlignment="1">
      <alignment horizontal="center"/>
    </xf>
    <xf numFmtId="0" fontId="2" fillId="5" borderId="0" xfId="0" applyFont="1" applyFill="1"/>
    <xf numFmtId="0" fontId="0" fillId="6" borderId="0" xfId="0" applyFill="1"/>
    <xf numFmtId="0" fontId="0" fillId="0" borderId="0" xfId="0" applyNumberFormat="1"/>
  </cellXfs>
  <cellStyles count="1">
    <cellStyle name="Normal" xfId="0" builtinId="0"/>
  </cellStyles>
  <dxfs count="11">
    <dxf>
      <numFmt numFmtId="165" formatCode="[$$-45C]#,##0.00"/>
    </dxf>
    <dxf>
      <numFmt numFmtId="165" formatCode="[$$-45C]#,##0.00"/>
    </dxf>
    <dxf>
      <numFmt numFmtId="165" formatCode="[$$-45C]#,##0.00"/>
    </dxf>
    <dxf>
      <numFmt numFmtId="165" formatCode="[$$-45C]#,##0.00"/>
    </dxf>
    <dxf>
      <numFmt numFmtId="165" formatCode="[$$-45C]#,##0.00"/>
    </dxf>
    <dxf>
      <numFmt numFmtId="165" formatCode="[$$-45C]#,##0.00"/>
    </dxf>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project.xlsx]Pivot_Tables!PivotTable2</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2"/>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2"/>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769280684932832E-2"/>
          <c:y val="0.1337862715077282"/>
          <c:w val="0.72877599248433433"/>
          <c:h val="0.65213163458734325"/>
        </c:manualLayout>
      </c:layout>
      <c:lineChart>
        <c:grouping val="standard"/>
        <c:varyColors val="0"/>
        <c:ser>
          <c:idx val="0"/>
          <c:order val="0"/>
          <c:tx>
            <c:strRef>
              <c:f>Pivot_Tables!$B$11</c:f>
              <c:strCache>
                <c:ptCount val="1"/>
                <c:pt idx="0">
                  <c:v>Total Quantity</c:v>
                </c:pt>
              </c:strCache>
            </c:strRef>
          </c:tx>
          <c:spPr>
            <a:ln w="38100" cap="rnd">
              <a:solidFill>
                <a:schemeClr val="accent2"/>
              </a:solidFill>
              <a:round/>
            </a:ln>
            <a:effectLst/>
          </c:spPr>
          <c:marker>
            <c:symbol val="circle"/>
            <c:size val="8"/>
            <c:spPr>
              <a:solidFill>
                <a:schemeClr val="accent2"/>
              </a:solidFill>
              <a:ln>
                <a:noFill/>
              </a:ln>
              <a:effectLst/>
            </c:spPr>
          </c:marker>
          <c:cat>
            <c:strRef>
              <c:f>Pivot_Tables!$A$12:$A$25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Pivot_Tables!$B$12:$B$25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03C4-455B-AB72-769F9F0004D1}"/>
            </c:ext>
          </c:extLst>
        </c:ser>
        <c:dLbls>
          <c:showLegendKey val="0"/>
          <c:showVal val="0"/>
          <c:showCatName val="0"/>
          <c:showSerName val="0"/>
          <c:showPercent val="0"/>
          <c:showBubbleSize val="0"/>
        </c:dLbls>
        <c:marker val="1"/>
        <c:smooth val="0"/>
        <c:axId val="1556554719"/>
        <c:axId val="1556555199"/>
      </c:lineChart>
      <c:lineChart>
        <c:grouping val="standard"/>
        <c:varyColors val="0"/>
        <c:ser>
          <c:idx val="1"/>
          <c:order val="1"/>
          <c:tx>
            <c:strRef>
              <c:f>Pivot_Tables!$C$11</c:f>
              <c:strCache>
                <c:ptCount val="1"/>
                <c:pt idx="0">
                  <c:v>Total Amount</c:v>
                </c:pt>
              </c:strCache>
            </c:strRef>
          </c:tx>
          <c:spPr>
            <a:ln w="38100" cap="rnd">
              <a:solidFill>
                <a:schemeClr val="accent4"/>
              </a:solidFill>
              <a:round/>
            </a:ln>
            <a:effectLst/>
          </c:spPr>
          <c:marker>
            <c:symbol val="circle"/>
            <c:size val="8"/>
            <c:spPr>
              <a:solidFill>
                <a:schemeClr val="accent4"/>
              </a:solidFill>
              <a:ln>
                <a:noFill/>
              </a:ln>
              <a:effectLst/>
            </c:spPr>
          </c:marker>
          <c:cat>
            <c:strRef>
              <c:f>Pivot_Tables!$A$12:$A$25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Pivot_Tables!$C$12:$C$25</c:f>
              <c:numCache>
                <c:formatCode>[$$-45C]#,##0.00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03C4-455B-AB72-769F9F0004D1}"/>
            </c:ext>
          </c:extLst>
        </c:ser>
        <c:dLbls>
          <c:showLegendKey val="0"/>
          <c:showVal val="0"/>
          <c:showCatName val="0"/>
          <c:showSerName val="0"/>
          <c:showPercent val="0"/>
          <c:showBubbleSize val="0"/>
        </c:dLbls>
        <c:marker val="1"/>
        <c:smooth val="0"/>
        <c:axId val="275389072"/>
        <c:axId val="275378992"/>
      </c:lineChart>
      <c:catAx>
        <c:axId val="1556554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56555199"/>
        <c:crosses val="autoZero"/>
        <c:auto val="1"/>
        <c:lblAlgn val="ctr"/>
        <c:lblOffset val="100"/>
        <c:noMultiLvlLbl val="0"/>
      </c:catAx>
      <c:valAx>
        <c:axId val="155655519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554719"/>
        <c:crosses val="autoZero"/>
        <c:crossBetween val="between"/>
      </c:valAx>
      <c:valAx>
        <c:axId val="275378992"/>
        <c:scaling>
          <c:orientation val="minMax"/>
        </c:scaling>
        <c:delete val="0"/>
        <c:axPos val="r"/>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89072"/>
        <c:crosses val="max"/>
        <c:crossBetween val="between"/>
      </c:valAx>
      <c:catAx>
        <c:axId val="275389072"/>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75378992"/>
        <c:crosses val="max"/>
        <c:auto val="1"/>
        <c:lblAlgn val="ctr"/>
        <c:lblOffset val="100"/>
        <c:noMultiLvlLbl val="0"/>
      </c:catAx>
      <c:spPr>
        <a:noFill/>
        <a:ln>
          <a:noFill/>
        </a:ln>
        <a:effectLst/>
      </c:spPr>
    </c:plotArea>
    <c:legend>
      <c:legendPos val="b"/>
      <c:layout>
        <c:manualLayout>
          <c:xMode val="edge"/>
          <c:yMode val="edge"/>
          <c:x val="0.20420552827575519"/>
          <c:y val="0.88498195538057756"/>
          <c:w val="0.56224221972253463"/>
          <c:h val="9.86849012294516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gra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Pivot_Tables!$A$32:$A$39</c:f>
              <c:strCache>
                <c:ptCount val="7"/>
                <c:pt idx="0">
                  <c:v>1</c:v>
                </c:pt>
                <c:pt idx="1">
                  <c:v>2</c:v>
                </c:pt>
                <c:pt idx="2">
                  <c:v>3</c:v>
                </c:pt>
                <c:pt idx="3">
                  <c:v>4</c:v>
                </c:pt>
                <c:pt idx="4">
                  <c:v>5</c:v>
                </c:pt>
                <c:pt idx="5">
                  <c:v>6-10</c:v>
                </c:pt>
                <c:pt idx="6">
                  <c:v>more than 10</c:v>
                </c:pt>
              </c:strCache>
            </c:strRef>
          </c:cat>
          <c:val>
            <c:numRef>
              <c:f>Pivot_Tables!$B$32:$B$39</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E4BE-4C2F-A2B3-3C363D2C1EC5}"/>
            </c:ext>
          </c:extLst>
        </c:ser>
        <c:dLbls>
          <c:dLblPos val="inEnd"/>
          <c:showLegendKey val="0"/>
          <c:showVal val="1"/>
          <c:showCatName val="0"/>
          <c:showSerName val="0"/>
          <c:showPercent val="0"/>
          <c:showBubbleSize val="0"/>
        </c:dLbls>
        <c:gapWidth val="41"/>
        <c:axId val="1556496159"/>
        <c:axId val="1556500959"/>
      </c:barChart>
      <c:catAx>
        <c:axId val="15564961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Item Quantity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556500959"/>
        <c:crosses val="autoZero"/>
        <c:auto val="1"/>
        <c:lblAlgn val="ctr"/>
        <c:lblOffset val="100"/>
        <c:noMultiLvlLbl val="0"/>
      </c:catAx>
      <c:valAx>
        <c:axId val="1556500959"/>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No. Of ORders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5649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dk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project.xlsx]Pivot_Tables!PivotTable20</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Pivot_Tables!$B$149:$B$150</c:f>
              <c:strCache>
                <c:ptCount val="1"/>
                <c:pt idx="0">
                  <c:v>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Pivot_Tables!$A$151:$A$154</c:f>
              <c:strCache>
                <c:ptCount val="3"/>
                <c:pt idx="0">
                  <c:v>Jan</c:v>
                </c:pt>
                <c:pt idx="1">
                  <c:v>Feb</c:v>
                </c:pt>
                <c:pt idx="2">
                  <c:v>Mar</c:v>
                </c:pt>
              </c:strCache>
            </c:strRef>
          </c:cat>
          <c:val>
            <c:numRef>
              <c:f>Pivot_Tables!$B$151:$B$154</c:f>
              <c:numCache>
                <c:formatCode>General</c:formatCode>
                <c:ptCount val="3"/>
                <c:pt idx="0">
                  <c:v>7</c:v>
                </c:pt>
                <c:pt idx="1">
                  <c:v>8</c:v>
                </c:pt>
                <c:pt idx="2">
                  <c:v>6</c:v>
                </c:pt>
              </c:numCache>
            </c:numRef>
          </c:val>
          <c:extLst>
            <c:ext xmlns:c16="http://schemas.microsoft.com/office/drawing/2014/chart" uri="{C3380CC4-5D6E-409C-BE32-E72D297353CC}">
              <c16:uniqueId val="{00000000-657A-4418-B95B-116BFE32E34E}"/>
            </c:ext>
          </c:extLst>
        </c:ser>
        <c:ser>
          <c:idx val="1"/>
          <c:order val="1"/>
          <c:tx>
            <c:strRef>
              <c:f>Pivot_Tables!$C$149:$C$150</c:f>
              <c:strCache>
                <c:ptCount val="1"/>
                <c:pt idx="0">
                  <c:v>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Pivot_Tables!$A$151:$A$154</c:f>
              <c:strCache>
                <c:ptCount val="3"/>
                <c:pt idx="0">
                  <c:v>Jan</c:v>
                </c:pt>
                <c:pt idx="1">
                  <c:v>Feb</c:v>
                </c:pt>
                <c:pt idx="2">
                  <c:v>Mar</c:v>
                </c:pt>
              </c:strCache>
            </c:strRef>
          </c:cat>
          <c:val>
            <c:numRef>
              <c:f>Pivot_Tables!$C$151:$C$154</c:f>
              <c:numCache>
                <c:formatCode>General</c:formatCode>
                <c:ptCount val="3"/>
                <c:pt idx="0">
                  <c:v>37</c:v>
                </c:pt>
                <c:pt idx="1">
                  <c:v>51</c:v>
                </c:pt>
                <c:pt idx="2">
                  <c:v>39</c:v>
                </c:pt>
              </c:numCache>
            </c:numRef>
          </c:val>
          <c:extLst>
            <c:ext xmlns:c16="http://schemas.microsoft.com/office/drawing/2014/chart" uri="{C3380CC4-5D6E-409C-BE32-E72D297353CC}">
              <c16:uniqueId val="{00000001-657A-4418-B95B-116BFE32E34E}"/>
            </c:ext>
          </c:extLst>
        </c:ser>
        <c:ser>
          <c:idx val="2"/>
          <c:order val="2"/>
          <c:tx>
            <c:strRef>
              <c:f>Pivot_Tables!$D$149:$D$150</c:f>
              <c:strCache>
                <c:ptCount val="1"/>
                <c:pt idx="0">
                  <c:v>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Pivot_Tables!$A$151:$A$154</c:f>
              <c:strCache>
                <c:ptCount val="3"/>
                <c:pt idx="0">
                  <c:v>Jan</c:v>
                </c:pt>
                <c:pt idx="1">
                  <c:v>Feb</c:v>
                </c:pt>
                <c:pt idx="2">
                  <c:v>Mar</c:v>
                </c:pt>
              </c:strCache>
            </c:strRef>
          </c:cat>
          <c:val>
            <c:numRef>
              <c:f>Pivot_Tables!$D$151:$D$154</c:f>
              <c:numCache>
                <c:formatCode>General</c:formatCode>
                <c:ptCount val="3"/>
                <c:pt idx="0">
                  <c:v>150</c:v>
                </c:pt>
                <c:pt idx="1">
                  <c:v>182</c:v>
                </c:pt>
                <c:pt idx="2">
                  <c:v>163</c:v>
                </c:pt>
              </c:numCache>
            </c:numRef>
          </c:val>
          <c:extLst>
            <c:ext xmlns:c16="http://schemas.microsoft.com/office/drawing/2014/chart" uri="{C3380CC4-5D6E-409C-BE32-E72D297353CC}">
              <c16:uniqueId val="{00000002-657A-4418-B95B-116BFE32E34E}"/>
            </c:ext>
          </c:extLst>
        </c:ser>
        <c:ser>
          <c:idx val="3"/>
          <c:order val="3"/>
          <c:tx>
            <c:strRef>
              <c:f>Pivot_Tables!$E$149:$E$150</c:f>
              <c:strCache>
                <c:ptCount val="1"/>
                <c:pt idx="0">
                  <c:v>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Pivot_Tables!$A$151:$A$154</c:f>
              <c:strCache>
                <c:ptCount val="3"/>
                <c:pt idx="0">
                  <c:v>Jan</c:v>
                </c:pt>
                <c:pt idx="1">
                  <c:v>Feb</c:v>
                </c:pt>
                <c:pt idx="2">
                  <c:v>Mar</c:v>
                </c:pt>
              </c:strCache>
            </c:strRef>
          </c:cat>
          <c:val>
            <c:numRef>
              <c:f>Pivot_Tables!$E$151:$E$154</c:f>
              <c:numCache>
                <c:formatCode>General</c:formatCode>
                <c:ptCount val="3"/>
                <c:pt idx="0">
                  <c:v>312</c:v>
                </c:pt>
                <c:pt idx="1">
                  <c:v>373</c:v>
                </c:pt>
                <c:pt idx="2">
                  <c:v>351</c:v>
                </c:pt>
              </c:numCache>
            </c:numRef>
          </c:val>
          <c:extLst>
            <c:ext xmlns:c16="http://schemas.microsoft.com/office/drawing/2014/chart" uri="{C3380CC4-5D6E-409C-BE32-E72D297353CC}">
              <c16:uniqueId val="{00000003-657A-4418-B95B-116BFE32E34E}"/>
            </c:ext>
          </c:extLst>
        </c:ser>
        <c:ser>
          <c:idx val="4"/>
          <c:order val="4"/>
          <c:tx>
            <c:strRef>
              <c:f>Pivot_Tables!$F$149:$F$150</c:f>
              <c:strCache>
                <c:ptCount val="1"/>
                <c:pt idx="0">
                  <c:v>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Pivot_Tables!$A$151:$A$154</c:f>
              <c:strCache>
                <c:ptCount val="3"/>
                <c:pt idx="0">
                  <c:v>Jan</c:v>
                </c:pt>
                <c:pt idx="1">
                  <c:v>Feb</c:v>
                </c:pt>
                <c:pt idx="2">
                  <c:v>Mar</c:v>
                </c:pt>
              </c:strCache>
            </c:strRef>
          </c:cat>
          <c:val>
            <c:numRef>
              <c:f>Pivot_Tables!$F$151:$F$154</c:f>
              <c:numCache>
                <c:formatCode>General</c:formatCode>
                <c:ptCount val="3"/>
                <c:pt idx="0">
                  <c:v>224</c:v>
                </c:pt>
                <c:pt idx="1">
                  <c:v>247</c:v>
                </c:pt>
                <c:pt idx="2">
                  <c:v>250</c:v>
                </c:pt>
              </c:numCache>
            </c:numRef>
          </c:val>
          <c:extLst>
            <c:ext xmlns:c16="http://schemas.microsoft.com/office/drawing/2014/chart" uri="{C3380CC4-5D6E-409C-BE32-E72D297353CC}">
              <c16:uniqueId val="{00000004-657A-4418-B95B-116BFE32E34E}"/>
            </c:ext>
          </c:extLst>
        </c:ser>
        <c:dLbls>
          <c:showLegendKey val="0"/>
          <c:showVal val="0"/>
          <c:showCatName val="0"/>
          <c:showSerName val="0"/>
          <c:showPercent val="0"/>
          <c:showBubbleSize val="0"/>
        </c:dLbls>
        <c:gapWidth val="100"/>
        <c:overlap val="-24"/>
        <c:axId val="1942609903"/>
        <c:axId val="1942599823"/>
      </c:barChart>
      <c:catAx>
        <c:axId val="19426099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599823"/>
        <c:crosses val="autoZero"/>
        <c:auto val="1"/>
        <c:lblAlgn val="ctr"/>
        <c:lblOffset val="100"/>
        <c:noMultiLvlLbl val="0"/>
      </c:catAx>
      <c:valAx>
        <c:axId val="194259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60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gra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project.xlsx]Pivot_Tables!PivotTable19</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36377387296968"/>
          <c:y val="0.14035087719298245"/>
          <c:w val="0.80474514294330801"/>
          <c:h val="0.67647188838237327"/>
        </c:manualLayout>
      </c:layout>
      <c:barChart>
        <c:barDir val="col"/>
        <c:grouping val="clustered"/>
        <c:varyColors val="0"/>
        <c:ser>
          <c:idx val="0"/>
          <c:order val="0"/>
          <c:tx>
            <c:strRef>
              <c:f>Pivot_Tables!$B$130</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Pivot_Tables!$A$131:$A$146</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Pivot_Tables!$B$131:$B$146</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0EF2-402A-AD2A-2ACEA9804A48}"/>
            </c:ext>
          </c:extLst>
        </c:ser>
        <c:dLbls>
          <c:dLblPos val="outEnd"/>
          <c:showLegendKey val="0"/>
          <c:showVal val="1"/>
          <c:showCatName val="0"/>
          <c:showSerName val="0"/>
          <c:showPercent val="0"/>
          <c:showBubbleSize val="0"/>
        </c:dLbls>
        <c:gapWidth val="164"/>
        <c:overlap val="-22"/>
        <c:axId val="1752476335"/>
        <c:axId val="1752470095"/>
      </c:barChart>
      <c:catAx>
        <c:axId val="175247633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 Days to Deliver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470095"/>
        <c:crosses val="autoZero"/>
        <c:auto val="1"/>
        <c:lblAlgn val="ctr"/>
        <c:lblOffset val="100"/>
        <c:noMultiLvlLbl val="0"/>
      </c:catAx>
      <c:valAx>
        <c:axId val="175247009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 Ship Counts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47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49428196475443"/>
          <c:y val="0.15342409488890224"/>
          <c:w val="0.63239524702939354"/>
          <c:h val="0.7829626735589349"/>
        </c:manualLayout>
      </c:layout>
      <c:barChart>
        <c:barDir val="bar"/>
        <c:grouping val="clustered"/>
        <c:varyColors val="0"/>
        <c:ser>
          <c:idx val="0"/>
          <c:order val="0"/>
          <c:tx>
            <c:strRef>
              <c:f>Pivot_Tables!$B$43</c:f>
              <c:strCache>
                <c:ptCount val="1"/>
                <c:pt idx="0">
                  <c:v>Total</c:v>
                </c:pt>
              </c:strCache>
            </c:strRef>
          </c:tx>
          <c:spPr>
            <a:solidFill>
              <a:schemeClr val="accent1"/>
            </a:solidFill>
            <a:ln>
              <a:noFill/>
            </a:ln>
            <a:effectLst/>
          </c:spPr>
          <c:invertIfNegative val="0"/>
          <c:cat>
            <c:strRef>
              <c:f>Pivot_Tables!$A$44:$A$64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Pivot_Tables!$B$44:$B$64</c:f>
              <c:numCache>
                <c:formatCode>General</c:formatCode>
                <c:ptCount val="20"/>
                <c:pt idx="0">
                  <c:v>1645</c:v>
                </c:pt>
                <c:pt idx="1">
                  <c:v>1546</c:v>
                </c:pt>
                <c:pt idx="2">
                  <c:v>1186</c:v>
                </c:pt>
                <c:pt idx="3">
                  <c:v>912</c:v>
                </c:pt>
                <c:pt idx="4">
                  <c:v>807</c:v>
                </c:pt>
                <c:pt idx="5">
                  <c:v>745</c:v>
                </c:pt>
                <c:pt idx="6">
                  <c:v>700</c:v>
                </c:pt>
                <c:pt idx="7">
                  <c:v>647</c:v>
                </c:pt>
                <c:pt idx="8">
                  <c:v>606</c:v>
                </c:pt>
                <c:pt idx="9">
                  <c:v>603</c:v>
                </c:pt>
                <c:pt idx="10">
                  <c:v>437</c:v>
                </c:pt>
                <c:pt idx="11">
                  <c:v>398</c:v>
                </c:pt>
                <c:pt idx="12">
                  <c:v>370</c:v>
                </c:pt>
                <c:pt idx="13">
                  <c:v>272</c:v>
                </c:pt>
                <c:pt idx="14">
                  <c:v>270</c:v>
                </c:pt>
                <c:pt idx="15">
                  <c:v>258</c:v>
                </c:pt>
                <c:pt idx="16">
                  <c:v>195</c:v>
                </c:pt>
                <c:pt idx="17">
                  <c:v>188</c:v>
                </c:pt>
                <c:pt idx="18">
                  <c:v>147</c:v>
                </c:pt>
                <c:pt idx="19">
                  <c:v>65</c:v>
                </c:pt>
              </c:numCache>
            </c:numRef>
          </c:val>
          <c:extLst>
            <c:ext xmlns:c16="http://schemas.microsoft.com/office/drawing/2014/chart" uri="{C3380CC4-5D6E-409C-BE32-E72D297353CC}">
              <c16:uniqueId val="{00000000-788F-4353-9A79-A8845706C71E}"/>
            </c:ext>
          </c:extLst>
        </c:ser>
        <c:dLbls>
          <c:showLegendKey val="0"/>
          <c:showVal val="0"/>
          <c:showCatName val="0"/>
          <c:showSerName val="0"/>
          <c:showPercent val="0"/>
          <c:showBubbleSize val="0"/>
        </c:dLbls>
        <c:gapWidth val="182"/>
        <c:axId val="1556550399"/>
        <c:axId val="1281491263"/>
      </c:barChart>
      <c:catAx>
        <c:axId val="1556550399"/>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81491263"/>
        <c:crosses val="autoZero"/>
        <c:auto val="1"/>
        <c:lblAlgn val="ctr"/>
        <c:lblOffset val="100"/>
        <c:noMultiLvlLbl val="0"/>
      </c:catAx>
      <c:valAx>
        <c:axId val="128149126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55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Pivot_Tables!$B$31</c:f>
              <c:strCache>
                <c:ptCount val="1"/>
                <c:pt idx="0">
                  <c:v>Total</c:v>
                </c:pt>
              </c:strCache>
            </c:strRef>
          </c:tx>
          <c:spPr>
            <a:solidFill>
              <a:schemeClr val="accent1"/>
            </a:solidFill>
            <a:ln>
              <a:noFill/>
            </a:ln>
            <a:effectLst/>
          </c:spPr>
          <c:invertIfNegative val="0"/>
          <c:cat>
            <c:strRef>
              <c:f>Pivot_Tables!$A$32:$A$39</c:f>
              <c:strCache>
                <c:ptCount val="7"/>
                <c:pt idx="0">
                  <c:v>1</c:v>
                </c:pt>
                <c:pt idx="1">
                  <c:v>2</c:v>
                </c:pt>
                <c:pt idx="2">
                  <c:v>3</c:v>
                </c:pt>
                <c:pt idx="3">
                  <c:v>4</c:v>
                </c:pt>
                <c:pt idx="4">
                  <c:v>5</c:v>
                </c:pt>
                <c:pt idx="5">
                  <c:v>6-10</c:v>
                </c:pt>
                <c:pt idx="6">
                  <c:v>more than 10</c:v>
                </c:pt>
              </c:strCache>
            </c:strRef>
          </c:cat>
          <c:val>
            <c:numRef>
              <c:f>Pivot_Tables!$B$32:$B$39</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32E7-4D55-9EAB-F8D2BB9E00D4}"/>
            </c:ext>
          </c:extLst>
        </c:ser>
        <c:dLbls>
          <c:showLegendKey val="0"/>
          <c:showVal val="0"/>
          <c:showCatName val="0"/>
          <c:showSerName val="0"/>
          <c:showPercent val="0"/>
          <c:showBubbleSize val="0"/>
        </c:dLbls>
        <c:gapWidth val="219"/>
        <c:overlap val="-27"/>
        <c:axId val="1556496159"/>
        <c:axId val="1556500959"/>
      </c:barChart>
      <c:catAx>
        <c:axId val="1556496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500959"/>
        <c:crosses val="autoZero"/>
        <c:auto val="1"/>
        <c:lblAlgn val="ctr"/>
        <c:lblOffset val="100"/>
        <c:noMultiLvlLbl val="0"/>
      </c:catAx>
      <c:valAx>
        <c:axId val="15565009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49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49428196475443"/>
          <c:y val="0.15342409488890224"/>
          <c:w val="0.63239524702939354"/>
          <c:h val="0.7829626735589349"/>
        </c:manualLayout>
      </c:layout>
      <c:barChart>
        <c:barDir val="bar"/>
        <c:grouping val="clustered"/>
        <c:varyColors val="0"/>
        <c:ser>
          <c:idx val="0"/>
          <c:order val="0"/>
          <c:tx>
            <c:strRef>
              <c:f>Pivot_Tables!$B$43</c:f>
              <c:strCache>
                <c:ptCount val="1"/>
                <c:pt idx="0">
                  <c:v>Total</c:v>
                </c:pt>
              </c:strCache>
            </c:strRef>
          </c:tx>
          <c:spPr>
            <a:solidFill>
              <a:schemeClr val="accent1"/>
            </a:solidFill>
            <a:ln>
              <a:noFill/>
            </a:ln>
            <a:effectLst/>
          </c:spPr>
          <c:invertIfNegative val="0"/>
          <c:cat>
            <c:strRef>
              <c:f>Pivot_Tables!$A$44:$A$64</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Pivot_Tables!$B$44:$B$64</c:f>
              <c:numCache>
                <c:formatCode>General</c:formatCode>
                <c:ptCount val="20"/>
                <c:pt idx="0">
                  <c:v>1645</c:v>
                </c:pt>
                <c:pt idx="1">
                  <c:v>1546</c:v>
                </c:pt>
                <c:pt idx="2">
                  <c:v>1186</c:v>
                </c:pt>
                <c:pt idx="3">
                  <c:v>912</c:v>
                </c:pt>
                <c:pt idx="4">
                  <c:v>807</c:v>
                </c:pt>
                <c:pt idx="5">
                  <c:v>745</c:v>
                </c:pt>
                <c:pt idx="6">
                  <c:v>700</c:v>
                </c:pt>
                <c:pt idx="7">
                  <c:v>647</c:v>
                </c:pt>
                <c:pt idx="8">
                  <c:v>606</c:v>
                </c:pt>
                <c:pt idx="9">
                  <c:v>603</c:v>
                </c:pt>
                <c:pt idx="10">
                  <c:v>437</c:v>
                </c:pt>
                <c:pt idx="11">
                  <c:v>398</c:v>
                </c:pt>
                <c:pt idx="12">
                  <c:v>370</c:v>
                </c:pt>
                <c:pt idx="13">
                  <c:v>272</c:v>
                </c:pt>
                <c:pt idx="14">
                  <c:v>270</c:v>
                </c:pt>
                <c:pt idx="15">
                  <c:v>258</c:v>
                </c:pt>
                <c:pt idx="16">
                  <c:v>195</c:v>
                </c:pt>
                <c:pt idx="17">
                  <c:v>188</c:v>
                </c:pt>
                <c:pt idx="18">
                  <c:v>147</c:v>
                </c:pt>
                <c:pt idx="19">
                  <c:v>65</c:v>
                </c:pt>
              </c:numCache>
            </c:numRef>
          </c:val>
          <c:extLst>
            <c:ext xmlns:c16="http://schemas.microsoft.com/office/drawing/2014/chart" uri="{C3380CC4-5D6E-409C-BE32-E72D297353CC}">
              <c16:uniqueId val="{00000000-DB28-4B0E-943A-7A250A0414B1}"/>
            </c:ext>
          </c:extLst>
        </c:ser>
        <c:dLbls>
          <c:showLegendKey val="0"/>
          <c:showVal val="0"/>
          <c:showCatName val="0"/>
          <c:showSerName val="0"/>
          <c:showPercent val="0"/>
          <c:showBubbleSize val="0"/>
        </c:dLbls>
        <c:gapWidth val="182"/>
        <c:axId val="1556550399"/>
        <c:axId val="1281491263"/>
      </c:barChart>
      <c:catAx>
        <c:axId val="15565503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491263"/>
        <c:crosses val="autoZero"/>
        <c:auto val="1"/>
        <c:lblAlgn val="ctr"/>
        <c:lblOffset val="100"/>
        <c:noMultiLvlLbl val="0"/>
      </c:catAx>
      <c:valAx>
        <c:axId val="128149126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55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Pivot_Tables!$L$46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F0-4CD0-8072-4111968406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F0-4CD0-8072-4111968406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F0-4CD0-8072-4111968406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F0-4CD0-8072-41119684068B}"/>
              </c:ext>
            </c:extLst>
          </c:dPt>
          <c:cat>
            <c:strRef>
              <c:f>Pivot_Tables!$K$47:$K$51</c:f>
              <c:strCache>
                <c:ptCount val="4"/>
                <c:pt idx="0">
                  <c:v>Female</c:v>
                </c:pt>
                <c:pt idx="1">
                  <c:v>Male</c:v>
                </c:pt>
                <c:pt idx="2">
                  <c:v>Other</c:v>
                </c:pt>
                <c:pt idx="3">
                  <c:v>Unknown</c:v>
                </c:pt>
              </c:strCache>
            </c:strRef>
          </c:cat>
          <c:val>
            <c:numRef>
              <c:f>Pivot_Tables!$L$47:$L$51</c:f>
              <c:numCache>
                <c:formatCode>General</c:formatCode>
                <c:ptCount val="4"/>
                <c:pt idx="0">
                  <c:v>1231</c:v>
                </c:pt>
                <c:pt idx="1">
                  <c:v>959</c:v>
                </c:pt>
                <c:pt idx="2">
                  <c:v>75</c:v>
                </c:pt>
                <c:pt idx="3">
                  <c:v>135</c:v>
                </c:pt>
              </c:numCache>
            </c:numRef>
          </c:val>
          <c:extLst>
            <c:ext xmlns:c16="http://schemas.microsoft.com/office/drawing/2014/chart" uri="{C3380CC4-5D6E-409C-BE32-E72D297353CC}">
              <c16:uniqueId val="{00000000-ABD1-4E97-B73F-CB6DB46376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project.xlsx]Pivot_Tables!PivotTable19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36377387296968"/>
          <c:y val="0.14035087719298245"/>
          <c:w val="0.80474514294330801"/>
          <c:h val="0.67647188838237327"/>
        </c:manualLayout>
      </c:layout>
      <c:barChart>
        <c:barDir val="col"/>
        <c:grouping val="clustered"/>
        <c:varyColors val="0"/>
        <c:ser>
          <c:idx val="0"/>
          <c:order val="0"/>
          <c:tx>
            <c:strRef>
              <c:f>Pivot_Tables!$B$130</c:f>
              <c:strCache>
                <c:ptCount val="1"/>
                <c:pt idx="0">
                  <c:v>Total</c:v>
                </c:pt>
              </c:strCache>
            </c:strRef>
          </c:tx>
          <c:spPr>
            <a:solidFill>
              <a:schemeClr val="accent1"/>
            </a:solidFill>
            <a:ln>
              <a:noFill/>
            </a:ln>
            <a:effectLst/>
          </c:spPr>
          <c:invertIfNegative val="0"/>
          <c:cat>
            <c:strRef>
              <c:f>Pivot_Tables!$A$131:$A$146</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Pivot_Tables!$B$131:$B$146</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ABB9-41A1-9A49-B239E7B8EB5C}"/>
            </c:ext>
          </c:extLst>
        </c:ser>
        <c:dLbls>
          <c:showLegendKey val="0"/>
          <c:showVal val="0"/>
          <c:showCatName val="0"/>
          <c:showSerName val="0"/>
          <c:showPercent val="0"/>
          <c:showBubbleSize val="0"/>
        </c:dLbls>
        <c:gapWidth val="219"/>
        <c:overlap val="-27"/>
        <c:axId val="1752476335"/>
        <c:axId val="1752470095"/>
      </c:barChart>
      <c:catAx>
        <c:axId val="1752476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 Days</a:t>
                </a:r>
                <a:r>
                  <a:rPr lang="en-IN" b="1" baseline="0">
                    <a:solidFill>
                      <a:schemeClr val="tx1"/>
                    </a:solidFill>
                  </a:rPr>
                  <a:t> to Deliver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470095"/>
        <c:crosses val="autoZero"/>
        <c:auto val="1"/>
        <c:lblAlgn val="ctr"/>
        <c:lblOffset val="100"/>
        <c:noMultiLvlLbl val="0"/>
      </c:catAx>
      <c:valAx>
        <c:axId val="1752470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 Ship</a:t>
                </a:r>
                <a:r>
                  <a:rPr lang="en-IN" b="1" baseline="0">
                    <a:solidFill>
                      <a:schemeClr val="tx1"/>
                    </a:solidFill>
                  </a:rPr>
                  <a:t> Counts</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47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project.xlsx]Pivot_Tables!PivotTable20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Pivot_Tables!$B$149:$B$150</c:f>
              <c:strCache>
                <c:ptCount val="1"/>
                <c:pt idx="0">
                  <c:v>1</c:v>
                </c:pt>
              </c:strCache>
            </c:strRef>
          </c:tx>
          <c:spPr>
            <a:solidFill>
              <a:schemeClr val="accent1"/>
            </a:solidFill>
            <a:ln>
              <a:noFill/>
            </a:ln>
            <a:effectLst/>
          </c:spPr>
          <c:invertIfNegative val="0"/>
          <c:cat>
            <c:strRef>
              <c:f>Pivot_Tables!$A$151:$A$154</c:f>
              <c:strCache>
                <c:ptCount val="3"/>
                <c:pt idx="0">
                  <c:v>Jan</c:v>
                </c:pt>
                <c:pt idx="1">
                  <c:v>Feb</c:v>
                </c:pt>
                <c:pt idx="2">
                  <c:v>Mar</c:v>
                </c:pt>
              </c:strCache>
            </c:strRef>
          </c:cat>
          <c:val>
            <c:numRef>
              <c:f>Pivot_Tables!$B$151:$B$154</c:f>
              <c:numCache>
                <c:formatCode>General</c:formatCode>
                <c:ptCount val="3"/>
                <c:pt idx="0">
                  <c:v>7</c:v>
                </c:pt>
                <c:pt idx="1">
                  <c:v>8</c:v>
                </c:pt>
                <c:pt idx="2">
                  <c:v>6</c:v>
                </c:pt>
              </c:numCache>
            </c:numRef>
          </c:val>
          <c:extLst>
            <c:ext xmlns:c16="http://schemas.microsoft.com/office/drawing/2014/chart" uri="{C3380CC4-5D6E-409C-BE32-E72D297353CC}">
              <c16:uniqueId val="{00000000-B21A-414C-AAF3-EA15E71260E4}"/>
            </c:ext>
          </c:extLst>
        </c:ser>
        <c:ser>
          <c:idx val="1"/>
          <c:order val="1"/>
          <c:tx>
            <c:strRef>
              <c:f>Pivot_Tables!$C$149:$C$150</c:f>
              <c:strCache>
                <c:ptCount val="1"/>
                <c:pt idx="0">
                  <c:v>2</c:v>
                </c:pt>
              </c:strCache>
            </c:strRef>
          </c:tx>
          <c:spPr>
            <a:solidFill>
              <a:schemeClr val="accent2"/>
            </a:solidFill>
            <a:ln>
              <a:noFill/>
            </a:ln>
            <a:effectLst/>
          </c:spPr>
          <c:invertIfNegative val="0"/>
          <c:cat>
            <c:strRef>
              <c:f>Pivot_Tables!$A$151:$A$154</c:f>
              <c:strCache>
                <c:ptCount val="3"/>
                <c:pt idx="0">
                  <c:v>Jan</c:v>
                </c:pt>
                <c:pt idx="1">
                  <c:v>Feb</c:v>
                </c:pt>
                <c:pt idx="2">
                  <c:v>Mar</c:v>
                </c:pt>
              </c:strCache>
            </c:strRef>
          </c:cat>
          <c:val>
            <c:numRef>
              <c:f>Pivot_Tables!$C$151:$C$154</c:f>
              <c:numCache>
                <c:formatCode>General</c:formatCode>
                <c:ptCount val="3"/>
                <c:pt idx="0">
                  <c:v>37</c:v>
                </c:pt>
                <c:pt idx="1">
                  <c:v>51</c:v>
                </c:pt>
                <c:pt idx="2">
                  <c:v>39</c:v>
                </c:pt>
              </c:numCache>
            </c:numRef>
          </c:val>
          <c:extLst>
            <c:ext xmlns:c16="http://schemas.microsoft.com/office/drawing/2014/chart" uri="{C3380CC4-5D6E-409C-BE32-E72D297353CC}">
              <c16:uniqueId val="{00000001-B21A-414C-AAF3-EA15E71260E4}"/>
            </c:ext>
          </c:extLst>
        </c:ser>
        <c:ser>
          <c:idx val="2"/>
          <c:order val="2"/>
          <c:tx>
            <c:strRef>
              <c:f>Pivot_Tables!$D$149:$D$150</c:f>
              <c:strCache>
                <c:ptCount val="1"/>
                <c:pt idx="0">
                  <c:v>3</c:v>
                </c:pt>
              </c:strCache>
            </c:strRef>
          </c:tx>
          <c:spPr>
            <a:solidFill>
              <a:schemeClr val="accent3"/>
            </a:solidFill>
            <a:ln>
              <a:noFill/>
            </a:ln>
            <a:effectLst/>
          </c:spPr>
          <c:invertIfNegative val="0"/>
          <c:cat>
            <c:strRef>
              <c:f>Pivot_Tables!$A$151:$A$154</c:f>
              <c:strCache>
                <c:ptCount val="3"/>
                <c:pt idx="0">
                  <c:v>Jan</c:v>
                </c:pt>
                <c:pt idx="1">
                  <c:v>Feb</c:v>
                </c:pt>
                <c:pt idx="2">
                  <c:v>Mar</c:v>
                </c:pt>
              </c:strCache>
            </c:strRef>
          </c:cat>
          <c:val>
            <c:numRef>
              <c:f>Pivot_Tables!$D$151:$D$154</c:f>
              <c:numCache>
                <c:formatCode>General</c:formatCode>
                <c:ptCount val="3"/>
                <c:pt idx="0">
                  <c:v>150</c:v>
                </c:pt>
                <c:pt idx="1">
                  <c:v>182</c:v>
                </c:pt>
                <c:pt idx="2">
                  <c:v>163</c:v>
                </c:pt>
              </c:numCache>
            </c:numRef>
          </c:val>
          <c:extLst>
            <c:ext xmlns:c16="http://schemas.microsoft.com/office/drawing/2014/chart" uri="{C3380CC4-5D6E-409C-BE32-E72D297353CC}">
              <c16:uniqueId val="{00000002-B21A-414C-AAF3-EA15E71260E4}"/>
            </c:ext>
          </c:extLst>
        </c:ser>
        <c:ser>
          <c:idx val="3"/>
          <c:order val="3"/>
          <c:tx>
            <c:strRef>
              <c:f>Pivot_Tables!$E$149:$E$150</c:f>
              <c:strCache>
                <c:ptCount val="1"/>
                <c:pt idx="0">
                  <c:v>4</c:v>
                </c:pt>
              </c:strCache>
            </c:strRef>
          </c:tx>
          <c:spPr>
            <a:solidFill>
              <a:schemeClr val="accent4"/>
            </a:solidFill>
            <a:ln>
              <a:noFill/>
            </a:ln>
            <a:effectLst/>
          </c:spPr>
          <c:invertIfNegative val="0"/>
          <c:cat>
            <c:strRef>
              <c:f>Pivot_Tables!$A$151:$A$154</c:f>
              <c:strCache>
                <c:ptCount val="3"/>
                <c:pt idx="0">
                  <c:v>Jan</c:v>
                </c:pt>
                <c:pt idx="1">
                  <c:v>Feb</c:v>
                </c:pt>
                <c:pt idx="2">
                  <c:v>Mar</c:v>
                </c:pt>
              </c:strCache>
            </c:strRef>
          </c:cat>
          <c:val>
            <c:numRef>
              <c:f>Pivot_Tables!$E$151:$E$154</c:f>
              <c:numCache>
                <c:formatCode>General</c:formatCode>
                <c:ptCount val="3"/>
                <c:pt idx="0">
                  <c:v>312</c:v>
                </c:pt>
                <c:pt idx="1">
                  <c:v>373</c:v>
                </c:pt>
                <c:pt idx="2">
                  <c:v>351</c:v>
                </c:pt>
              </c:numCache>
            </c:numRef>
          </c:val>
          <c:extLst>
            <c:ext xmlns:c16="http://schemas.microsoft.com/office/drawing/2014/chart" uri="{C3380CC4-5D6E-409C-BE32-E72D297353CC}">
              <c16:uniqueId val="{00000003-B21A-414C-AAF3-EA15E71260E4}"/>
            </c:ext>
          </c:extLst>
        </c:ser>
        <c:ser>
          <c:idx val="4"/>
          <c:order val="4"/>
          <c:tx>
            <c:strRef>
              <c:f>Pivot_Tables!$F$149:$F$150</c:f>
              <c:strCache>
                <c:ptCount val="1"/>
                <c:pt idx="0">
                  <c:v>5</c:v>
                </c:pt>
              </c:strCache>
            </c:strRef>
          </c:tx>
          <c:spPr>
            <a:solidFill>
              <a:schemeClr val="accent5"/>
            </a:solidFill>
            <a:ln>
              <a:noFill/>
            </a:ln>
            <a:effectLst/>
          </c:spPr>
          <c:invertIfNegative val="0"/>
          <c:cat>
            <c:strRef>
              <c:f>Pivot_Tables!$A$151:$A$154</c:f>
              <c:strCache>
                <c:ptCount val="3"/>
                <c:pt idx="0">
                  <c:v>Jan</c:v>
                </c:pt>
                <c:pt idx="1">
                  <c:v>Feb</c:v>
                </c:pt>
                <c:pt idx="2">
                  <c:v>Mar</c:v>
                </c:pt>
              </c:strCache>
            </c:strRef>
          </c:cat>
          <c:val>
            <c:numRef>
              <c:f>Pivot_Tables!$F$151:$F$154</c:f>
              <c:numCache>
                <c:formatCode>General</c:formatCode>
                <c:ptCount val="3"/>
                <c:pt idx="0">
                  <c:v>224</c:v>
                </c:pt>
                <c:pt idx="1">
                  <c:v>247</c:v>
                </c:pt>
                <c:pt idx="2">
                  <c:v>250</c:v>
                </c:pt>
              </c:numCache>
            </c:numRef>
          </c:val>
          <c:extLst>
            <c:ext xmlns:c16="http://schemas.microsoft.com/office/drawing/2014/chart" uri="{C3380CC4-5D6E-409C-BE32-E72D297353CC}">
              <c16:uniqueId val="{00000004-B21A-414C-AAF3-EA15E71260E4}"/>
            </c:ext>
          </c:extLst>
        </c:ser>
        <c:dLbls>
          <c:showLegendKey val="0"/>
          <c:showVal val="0"/>
          <c:showCatName val="0"/>
          <c:showSerName val="0"/>
          <c:showPercent val="0"/>
          <c:showBubbleSize val="0"/>
        </c:dLbls>
        <c:gapWidth val="219"/>
        <c:overlap val="-27"/>
        <c:axId val="1942609903"/>
        <c:axId val="1942599823"/>
      </c:barChart>
      <c:catAx>
        <c:axId val="194260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599823"/>
        <c:crosses val="autoZero"/>
        <c:auto val="1"/>
        <c:lblAlgn val="ctr"/>
        <c:lblOffset val="100"/>
        <c:noMultiLvlLbl val="0"/>
      </c:catAx>
      <c:valAx>
        <c:axId val="194259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60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266700</xdr:colOff>
      <xdr:row>0</xdr:row>
      <xdr:rowOff>0</xdr:rowOff>
    </xdr:from>
    <xdr:to>
      <xdr:col>23</xdr:col>
      <xdr:colOff>541020</xdr:colOff>
      <xdr:row>30</xdr:row>
      <xdr:rowOff>160020</xdr:rowOff>
    </xdr:to>
    <xdr:sp macro="" textlink="">
      <xdr:nvSpPr>
        <xdr:cNvPr id="5" name="Rectangle 4">
          <a:extLst>
            <a:ext uri="{FF2B5EF4-FFF2-40B4-BE49-F238E27FC236}">
              <a16:creationId xmlns:a16="http://schemas.microsoft.com/office/drawing/2014/main" id="{ED671DA1-D752-4732-AE3F-6CF159C2BE58}"/>
            </a:ext>
          </a:extLst>
        </xdr:cNvPr>
        <xdr:cNvSpPr/>
      </xdr:nvSpPr>
      <xdr:spPr>
        <a:xfrm>
          <a:off x="1211580" y="0"/>
          <a:ext cx="12801600" cy="5646420"/>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xdr:colOff>
      <xdr:row>0</xdr:row>
      <xdr:rowOff>15240</xdr:rowOff>
    </xdr:from>
    <xdr:to>
      <xdr:col>3</xdr:col>
      <xdr:colOff>7620</xdr:colOff>
      <xdr:row>30</xdr:row>
      <xdr:rowOff>175260</xdr:rowOff>
    </xdr:to>
    <xdr:sp macro="" textlink="">
      <xdr:nvSpPr>
        <xdr:cNvPr id="2" name="Rectangle 1">
          <a:extLst>
            <a:ext uri="{FF2B5EF4-FFF2-40B4-BE49-F238E27FC236}">
              <a16:creationId xmlns:a16="http://schemas.microsoft.com/office/drawing/2014/main" id="{479C8891-0A6D-8124-F601-5E491080214F}"/>
            </a:ext>
          </a:extLst>
        </xdr:cNvPr>
        <xdr:cNvSpPr/>
      </xdr:nvSpPr>
      <xdr:spPr>
        <a:xfrm>
          <a:off x="22860" y="15240"/>
          <a:ext cx="1264920" cy="5646420"/>
        </a:xfrm>
        <a:prstGeom prst="rect">
          <a:avLst/>
        </a:prstGeom>
        <a:solidFill>
          <a:schemeClr val="accent6">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6</xdr:row>
      <xdr:rowOff>91440</xdr:rowOff>
    </xdr:from>
    <xdr:to>
      <xdr:col>2</xdr:col>
      <xdr:colOff>160020</xdr:colOff>
      <xdr:row>9</xdr:row>
      <xdr:rowOff>15240</xdr:rowOff>
    </xdr:to>
    <xdr:sp macro="" textlink="Pivot_Tables!A8">
      <xdr:nvSpPr>
        <xdr:cNvPr id="7" name="TextBox 6">
          <a:extLst>
            <a:ext uri="{FF2B5EF4-FFF2-40B4-BE49-F238E27FC236}">
              <a16:creationId xmlns:a16="http://schemas.microsoft.com/office/drawing/2014/main" id="{81055466-F34A-9780-B076-C65D8CBBCA78}"/>
            </a:ext>
          </a:extLst>
        </xdr:cNvPr>
        <xdr:cNvSpPr txBox="1"/>
      </xdr:nvSpPr>
      <xdr:spPr>
        <a:xfrm>
          <a:off x="190500" y="1188720"/>
          <a:ext cx="914400" cy="4724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AC334A-7A9A-47B5-BD79-08EF0B8EAB4A}" type="TxLink">
            <a:rPr lang="en-US" sz="1400" b="0" i="0" u="none" strike="noStrike" cap="none" spc="0">
              <a:ln>
                <a:noFill/>
              </a:ln>
              <a:solidFill>
                <a:schemeClr val="tx1"/>
              </a:solidFill>
              <a:effectLst/>
              <a:latin typeface="Arial Black" panose="020B0A04020102020204" pitchFamily="34" charset="0"/>
            </a:rPr>
            <a:pPr algn="ctr"/>
            <a:t>2,400</a:t>
          </a:fld>
          <a:endParaRPr lang="en-US" sz="1400" b="0" cap="none" spc="0">
            <a:ln>
              <a:noFill/>
            </a:ln>
            <a:solidFill>
              <a:schemeClr val="tx1"/>
            </a:solidFill>
            <a:effectLst/>
            <a:latin typeface="Arial Black" panose="020B0A04020102020204" pitchFamily="34" charset="0"/>
          </a:endParaRPr>
        </a:p>
      </xdr:txBody>
    </xdr:sp>
    <xdr:clientData/>
  </xdr:twoCellAnchor>
  <xdr:twoCellAnchor>
    <xdr:from>
      <xdr:col>0</xdr:col>
      <xdr:colOff>198120</xdr:colOff>
      <xdr:row>10</xdr:row>
      <xdr:rowOff>152400</xdr:rowOff>
    </xdr:from>
    <xdr:to>
      <xdr:col>2</xdr:col>
      <xdr:colOff>167640</xdr:colOff>
      <xdr:row>13</xdr:row>
      <xdr:rowOff>22860</xdr:rowOff>
    </xdr:to>
    <xdr:sp macro="" textlink="Pivot_Tables!B8">
      <xdr:nvSpPr>
        <xdr:cNvPr id="8" name="TextBox 7">
          <a:extLst>
            <a:ext uri="{FF2B5EF4-FFF2-40B4-BE49-F238E27FC236}">
              <a16:creationId xmlns:a16="http://schemas.microsoft.com/office/drawing/2014/main" id="{24143795-DB14-4CBB-B0AB-1052E0550E64}"/>
            </a:ext>
          </a:extLst>
        </xdr:cNvPr>
        <xdr:cNvSpPr txBox="1"/>
      </xdr:nvSpPr>
      <xdr:spPr>
        <a:xfrm>
          <a:off x="198120" y="1981200"/>
          <a:ext cx="914400" cy="4191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779A51E-FC15-4898-85D1-CF4BE8322123}" type="TxLink">
            <a:rPr lang="en-US" sz="1400" b="0" i="0" u="none" strike="noStrike" cap="none" spc="0">
              <a:ln>
                <a:noFill/>
              </a:ln>
              <a:solidFill>
                <a:schemeClr val="tx1"/>
              </a:solidFill>
              <a:effectLst/>
              <a:latin typeface="Arial Black" panose="020B0A04020102020204" pitchFamily="34" charset="0"/>
              <a:ea typeface="+mn-ea"/>
              <a:cs typeface="+mn-cs"/>
            </a:rPr>
            <a:pPr marL="0" indent="0" algn="ctr"/>
            <a:t>11,997</a:t>
          </a:fld>
          <a:endParaRPr lang="en-US" sz="1400" b="0" i="0" u="none" strike="noStrike" cap="none" spc="0">
            <a:ln>
              <a:noFill/>
            </a:ln>
            <a:solidFill>
              <a:schemeClr val="tx1"/>
            </a:solidFill>
            <a:effectLst/>
            <a:latin typeface="Arial Black" panose="020B0A04020102020204" pitchFamily="34" charset="0"/>
            <a:ea typeface="+mn-ea"/>
            <a:cs typeface="+mn-cs"/>
          </a:endParaRPr>
        </a:p>
      </xdr:txBody>
    </xdr:sp>
    <xdr:clientData/>
  </xdr:twoCellAnchor>
  <xdr:twoCellAnchor>
    <xdr:from>
      <xdr:col>0</xdr:col>
      <xdr:colOff>152400</xdr:colOff>
      <xdr:row>15</xdr:row>
      <xdr:rowOff>15240</xdr:rowOff>
    </xdr:from>
    <xdr:to>
      <xdr:col>2</xdr:col>
      <xdr:colOff>198120</xdr:colOff>
      <xdr:row>17</xdr:row>
      <xdr:rowOff>7620</xdr:rowOff>
    </xdr:to>
    <xdr:sp macro="" textlink="Pivot_Tables!C8">
      <xdr:nvSpPr>
        <xdr:cNvPr id="9" name="TextBox 8">
          <a:extLst>
            <a:ext uri="{FF2B5EF4-FFF2-40B4-BE49-F238E27FC236}">
              <a16:creationId xmlns:a16="http://schemas.microsoft.com/office/drawing/2014/main" id="{EBAF2057-4F43-481B-B41A-ECD4E3D823F6}"/>
            </a:ext>
          </a:extLst>
        </xdr:cNvPr>
        <xdr:cNvSpPr txBox="1"/>
      </xdr:nvSpPr>
      <xdr:spPr>
        <a:xfrm>
          <a:off x="152400" y="2758440"/>
          <a:ext cx="990600" cy="3581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F6C331-A203-4E83-B899-AB6C3900AA56}" type="TxLink">
            <a:rPr lang="en-US" sz="1400" b="0" i="0" u="none" strike="noStrike" cap="none" spc="0">
              <a:ln>
                <a:noFill/>
              </a:ln>
              <a:solidFill>
                <a:schemeClr val="tx1"/>
              </a:solidFill>
              <a:effectLst/>
              <a:latin typeface="Arial Black" panose="020B0A04020102020204" pitchFamily="34" charset="0"/>
              <a:ea typeface="+mn-ea"/>
              <a:cs typeface="+mn-cs"/>
            </a:rPr>
            <a:pPr marL="0" indent="0" algn="ctr"/>
            <a:t>$649.0k</a:t>
          </a:fld>
          <a:endParaRPr lang="en-US" sz="1400" b="0" i="0" u="none" strike="noStrike" cap="none" spc="0">
            <a:ln>
              <a:noFill/>
            </a:ln>
            <a:solidFill>
              <a:schemeClr val="tx1"/>
            </a:solidFill>
            <a:effectLst/>
            <a:latin typeface="Arial Black" panose="020B0A04020102020204" pitchFamily="34" charset="0"/>
            <a:ea typeface="+mn-ea"/>
            <a:cs typeface="+mn-cs"/>
          </a:endParaRPr>
        </a:p>
      </xdr:txBody>
    </xdr:sp>
    <xdr:clientData/>
  </xdr:twoCellAnchor>
  <xdr:twoCellAnchor>
    <xdr:from>
      <xdr:col>0</xdr:col>
      <xdr:colOff>190500</xdr:colOff>
      <xdr:row>19</xdr:row>
      <xdr:rowOff>114300</xdr:rowOff>
    </xdr:from>
    <xdr:to>
      <xdr:col>2</xdr:col>
      <xdr:colOff>160020</xdr:colOff>
      <xdr:row>21</xdr:row>
      <xdr:rowOff>30480</xdr:rowOff>
    </xdr:to>
    <xdr:sp macro="" textlink="Pivot_Tables!D8">
      <xdr:nvSpPr>
        <xdr:cNvPr id="10" name="TextBox 9">
          <a:extLst>
            <a:ext uri="{FF2B5EF4-FFF2-40B4-BE49-F238E27FC236}">
              <a16:creationId xmlns:a16="http://schemas.microsoft.com/office/drawing/2014/main" id="{13282CF8-6578-4C5E-B9BF-636B76FFE437}"/>
            </a:ext>
          </a:extLst>
        </xdr:cNvPr>
        <xdr:cNvSpPr txBox="1"/>
      </xdr:nvSpPr>
      <xdr:spPr>
        <a:xfrm>
          <a:off x="190500" y="3589020"/>
          <a:ext cx="914400" cy="2819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1EFE764-8498-4B2A-AA7F-77748EA46574}" type="TxLink">
            <a:rPr lang="en-US" sz="1400" b="0" i="0" u="none" strike="noStrike" cap="none" spc="0">
              <a:ln>
                <a:noFill/>
              </a:ln>
              <a:solidFill>
                <a:schemeClr val="tx1"/>
              </a:solidFill>
              <a:effectLst/>
              <a:latin typeface="Arial Black" panose="020B0A04020102020204" pitchFamily="34" charset="0"/>
              <a:ea typeface="+mn-ea"/>
              <a:cs typeface="+mn-cs"/>
            </a:rPr>
            <a:pPr marL="0" indent="0" algn="ctr"/>
            <a:t>4.0</a:t>
          </a:fld>
          <a:endParaRPr lang="en-US" sz="1400" b="0" i="0" u="none" strike="noStrike" cap="none" spc="0">
            <a:ln>
              <a:noFill/>
            </a:ln>
            <a:solidFill>
              <a:schemeClr val="tx1"/>
            </a:solidFill>
            <a:effectLst/>
            <a:latin typeface="Arial Black" panose="020B0A04020102020204" pitchFamily="34" charset="0"/>
            <a:ea typeface="+mn-ea"/>
            <a:cs typeface="+mn-cs"/>
          </a:endParaRPr>
        </a:p>
      </xdr:txBody>
    </xdr:sp>
    <xdr:clientData/>
  </xdr:twoCellAnchor>
  <xdr:twoCellAnchor>
    <xdr:from>
      <xdr:col>0</xdr:col>
      <xdr:colOff>198120</xdr:colOff>
      <xdr:row>25</xdr:row>
      <xdr:rowOff>7620</xdr:rowOff>
    </xdr:from>
    <xdr:to>
      <xdr:col>2</xdr:col>
      <xdr:colOff>167640</xdr:colOff>
      <xdr:row>26</xdr:row>
      <xdr:rowOff>137160</xdr:rowOff>
    </xdr:to>
    <xdr:sp macro="" textlink="Pivot_Tables!E8">
      <xdr:nvSpPr>
        <xdr:cNvPr id="11" name="TextBox 10">
          <a:extLst>
            <a:ext uri="{FF2B5EF4-FFF2-40B4-BE49-F238E27FC236}">
              <a16:creationId xmlns:a16="http://schemas.microsoft.com/office/drawing/2014/main" id="{E4172D9E-9BBF-4868-B0AD-ECAAB0D04129}"/>
            </a:ext>
          </a:extLst>
        </xdr:cNvPr>
        <xdr:cNvSpPr txBox="1"/>
      </xdr:nvSpPr>
      <xdr:spPr>
        <a:xfrm>
          <a:off x="198120" y="4579620"/>
          <a:ext cx="914400" cy="3124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487426-5E7B-4710-92AF-A8A4132C27F0}" type="TxLink">
            <a:rPr lang="en-US" sz="1400" b="0" i="0" u="none" strike="noStrike" cap="none" spc="0">
              <a:ln>
                <a:noFill/>
              </a:ln>
              <a:solidFill>
                <a:schemeClr val="tx1"/>
              </a:solidFill>
              <a:effectLst/>
              <a:latin typeface="Arial Black" panose="020B0A04020102020204" pitchFamily="34" charset="0"/>
              <a:ea typeface="+mn-ea"/>
              <a:cs typeface="+mn-cs"/>
            </a:rPr>
            <a:pPr marL="0" indent="0" algn="ctr"/>
            <a:t>2.3</a:t>
          </a:fld>
          <a:endParaRPr lang="en-US" sz="1400" b="0" i="0" u="none" strike="noStrike">
            <a:solidFill>
              <a:schemeClr val="tx2">
                <a:lumMod val="90000"/>
                <a:lumOff val="10000"/>
              </a:schemeClr>
            </a:solidFill>
            <a:effectLst>
              <a:outerShdw blurRad="50800" dist="38100" dir="2700000" algn="tl"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106680</xdr:colOff>
      <xdr:row>5</xdr:row>
      <xdr:rowOff>68580</xdr:rowOff>
    </xdr:from>
    <xdr:to>
      <xdr:col>2</xdr:col>
      <xdr:colOff>99060</xdr:colOff>
      <xdr:row>6</xdr:row>
      <xdr:rowOff>144780</xdr:rowOff>
    </xdr:to>
    <xdr:sp macro="" textlink="">
      <xdr:nvSpPr>
        <xdr:cNvPr id="12" name="TextBox 11">
          <a:extLst>
            <a:ext uri="{FF2B5EF4-FFF2-40B4-BE49-F238E27FC236}">
              <a16:creationId xmlns:a16="http://schemas.microsoft.com/office/drawing/2014/main" id="{46AE76D7-4CE8-B5FB-0FB5-0682393AC21C}"/>
            </a:ext>
          </a:extLst>
        </xdr:cNvPr>
        <xdr:cNvSpPr txBox="1"/>
      </xdr:nvSpPr>
      <xdr:spPr>
        <a:xfrm>
          <a:off x="106680" y="982980"/>
          <a:ext cx="937260" cy="2590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cap="none" spc="0">
              <a:ln/>
              <a:solidFill>
                <a:srgbClr val="C00000"/>
              </a:solidFill>
              <a:effectLst>
                <a:outerShdw blurRad="38100" dist="19050" dir="2700000" algn="tl" rotWithShape="0">
                  <a:schemeClr val="dk1">
                    <a:lumMod val="50000"/>
                    <a:alpha val="40000"/>
                  </a:schemeClr>
                </a:outerShdw>
              </a:effectLst>
              <a:latin typeface="Arial Black" panose="020B0A04020102020204" pitchFamily="34" charset="0"/>
            </a:rPr>
            <a:t>   Orders</a:t>
          </a:r>
          <a:endParaRPr lang="en-IN" sz="1100">
            <a:solidFill>
              <a:srgbClr val="C00000"/>
            </a:solidFill>
            <a:latin typeface="Arial Black" panose="020B0A04020102020204" pitchFamily="34" charset="0"/>
          </a:endParaRPr>
        </a:p>
      </xdr:txBody>
    </xdr:sp>
    <xdr:clientData/>
  </xdr:twoCellAnchor>
  <xdr:twoCellAnchor>
    <xdr:from>
      <xdr:col>0</xdr:col>
      <xdr:colOff>114300</xdr:colOff>
      <xdr:row>9</xdr:row>
      <xdr:rowOff>106680</xdr:rowOff>
    </xdr:from>
    <xdr:to>
      <xdr:col>2</xdr:col>
      <xdr:colOff>236220</xdr:colOff>
      <xdr:row>11</xdr:row>
      <xdr:rowOff>0</xdr:rowOff>
    </xdr:to>
    <xdr:sp macro="" textlink="">
      <xdr:nvSpPr>
        <xdr:cNvPr id="15" name="TextBox 14">
          <a:extLst>
            <a:ext uri="{FF2B5EF4-FFF2-40B4-BE49-F238E27FC236}">
              <a16:creationId xmlns:a16="http://schemas.microsoft.com/office/drawing/2014/main" id="{F150FDD4-7D60-41FD-BC57-C11706279477}"/>
            </a:ext>
          </a:extLst>
        </xdr:cNvPr>
        <xdr:cNvSpPr txBox="1"/>
      </xdr:nvSpPr>
      <xdr:spPr>
        <a:xfrm>
          <a:off x="114300" y="1752600"/>
          <a:ext cx="1066800" cy="2590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cap="none" spc="0">
              <a:ln/>
              <a:solidFill>
                <a:srgbClr val="C00000"/>
              </a:solidFill>
              <a:effectLst>
                <a:outerShdw blurRad="38100" dist="19050" dir="2700000" algn="tl" rotWithShape="0">
                  <a:schemeClr val="dk1">
                    <a:lumMod val="50000"/>
                    <a:alpha val="40000"/>
                  </a:schemeClr>
                </a:outerShdw>
              </a:effectLst>
              <a:latin typeface="Arial Black" panose="020B0A04020102020204" pitchFamily="34" charset="0"/>
              <a:ea typeface="+mn-ea"/>
              <a:cs typeface="+mn-cs"/>
            </a:rPr>
            <a:t>Quantity</a:t>
          </a:r>
          <a:endParaRPr lang="en-IN" sz="1100">
            <a:solidFill>
              <a:srgbClr val="C00000"/>
            </a:solidFill>
            <a:latin typeface="Arial Black" panose="020B0A04020102020204" pitchFamily="34" charset="0"/>
            <a:ea typeface="+mn-ea"/>
            <a:cs typeface="+mn-cs"/>
          </a:endParaRPr>
        </a:p>
      </xdr:txBody>
    </xdr:sp>
    <xdr:clientData/>
  </xdr:twoCellAnchor>
  <xdr:twoCellAnchor>
    <xdr:from>
      <xdr:col>0</xdr:col>
      <xdr:colOff>91440</xdr:colOff>
      <xdr:row>13</xdr:row>
      <xdr:rowOff>137160</xdr:rowOff>
    </xdr:from>
    <xdr:to>
      <xdr:col>2</xdr:col>
      <xdr:colOff>281940</xdr:colOff>
      <xdr:row>15</xdr:row>
      <xdr:rowOff>30480</xdr:rowOff>
    </xdr:to>
    <xdr:sp macro="" textlink="">
      <xdr:nvSpPr>
        <xdr:cNvPr id="16" name="TextBox 15">
          <a:extLst>
            <a:ext uri="{FF2B5EF4-FFF2-40B4-BE49-F238E27FC236}">
              <a16:creationId xmlns:a16="http://schemas.microsoft.com/office/drawing/2014/main" id="{D6E12504-453D-4924-B50D-FCEB2DAB5D7A}"/>
            </a:ext>
          </a:extLst>
        </xdr:cNvPr>
        <xdr:cNvSpPr txBox="1"/>
      </xdr:nvSpPr>
      <xdr:spPr>
        <a:xfrm>
          <a:off x="91440" y="2514600"/>
          <a:ext cx="1135380" cy="2590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cap="none" spc="0">
              <a:ln/>
              <a:solidFill>
                <a:srgbClr val="C00000"/>
              </a:solidFill>
              <a:effectLst>
                <a:outerShdw blurRad="38100" dist="19050" dir="2700000" algn="tl" rotWithShape="0">
                  <a:schemeClr val="dk1">
                    <a:lumMod val="50000"/>
                    <a:alpha val="40000"/>
                  </a:schemeClr>
                </a:outerShdw>
              </a:effectLst>
              <a:latin typeface="Arial Black" panose="020B0A04020102020204" pitchFamily="34" charset="0"/>
              <a:ea typeface="+mn-ea"/>
              <a:cs typeface="+mn-cs"/>
            </a:rPr>
            <a:t>Amount</a:t>
          </a:r>
          <a:endParaRPr lang="en-IN" sz="1100">
            <a:solidFill>
              <a:srgbClr val="C00000"/>
            </a:solidFill>
            <a:latin typeface="Arial Black" panose="020B0A04020102020204" pitchFamily="34" charset="0"/>
            <a:ea typeface="+mn-ea"/>
            <a:cs typeface="+mn-cs"/>
          </a:endParaRPr>
        </a:p>
      </xdr:txBody>
    </xdr:sp>
    <xdr:clientData/>
  </xdr:twoCellAnchor>
  <xdr:twoCellAnchor>
    <xdr:from>
      <xdr:col>0</xdr:col>
      <xdr:colOff>144780</xdr:colOff>
      <xdr:row>18</xdr:row>
      <xdr:rowOff>45720</xdr:rowOff>
    </xdr:from>
    <xdr:to>
      <xdr:col>2</xdr:col>
      <xdr:colOff>259080</xdr:colOff>
      <xdr:row>19</xdr:row>
      <xdr:rowOff>121920</xdr:rowOff>
    </xdr:to>
    <xdr:sp macro="" textlink="">
      <xdr:nvSpPr>
        <xdr:cNvPr id="17" name="TextBox 16">
          <a:extLst>
            <a:ext uri="{FF2B5EF4-FFF2-40B4-BE49-F238E27FC236}">
              <a16:creationId xmlns:a16="http://schemas.microsoft.com/office/drawing/2014/main" id="{ACE3E85C-0661-4C6B-A9F6-6905234CAB3D}"/>
            </a:ext>
          </a:extLst>
        </xdr:cNvPr>
        <xdr:cNvSpPr txBox="1"/>
      </xdr:nvSpPr>
      <xdr:spPr>
        <a:xfrm>
          <a:off x="144780" y="3337560"/>
          <a:ext cx="1059180" cy="2590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cap="none" spc="0">
              <a:ln/>
              <a:solidFill>
                <a:srgbClr val="C00000"/>
              </a:solidFill>
              <a:effectLst>
                <a:outerShdw blurRad="38100" dist="19050" dir="2700000" algn="tl" rotWithShape="0">
                  <a:schemeClr val="dk1">
                    <a:lumMod val="50000"/>
                    <a:alpha val="40000"/>
                  </a:schemeClr>
                </a:outerShdw>
              </a:effectLst>
              <a:latin typeface="Arial Black" panose="020B0A04020102020204" pitchFamily="34" charset="0"/>
              <a:ea typeface="+mn-ea"/>
              <a:cs typeface="+mn-cs"/>
            </a:rPr>
            <a:t>Ratings</a:t>
          </a:r>
          <a:endParaRPr lang="en-IN" sz="1100">
            <a:solidFill>
              <a:srgbClr val="C00000"/>
            </a:solidFill>
            <a:latin typeface="Arial Black" panose="020B0A04020102020204" pitchFamily="34" charset="0"/>
            <a:ea typeface="+mn-ea"/>
            <a:cs typeface="+mn-cs"/>
          </a:endParaRPr>
        </a:p>
      </xdr:txBody>
    </xdr:sp>
    <xdr:clientData/>
  </xdr:twoCellAnchor>
  <xdr:twoCellAnchor>
    <xdr:from>
      <xdr:col>0</xdr:col>
      <xdr:colOff>205740</xdr:colOff>
      <xdr:row>22</xdr:row>
      <xdr:rowOff>76200</xdr:rowOff>
    </xdr:from>
    <xdr:to>
      <xdr:col>2</xdr:col>
      <xdr:colOff>198120</xdr:colOff>
      <xdr:row>25</xdr:row>
      <xdr:rowOff>22860</xdr:rowOff>
    </xdr:to>
    <xdr:sp macro="" textlink="">
      <xdr:nvSpPr>
        <xdr:cNvPr id="18" name="TextBox 17">
          <a:extLst>
            <a:ext uri="{FF2B5EF4-FFF2-40B4-BE49-F238E27FC236}">
              <a16:creationId xmlns:a16="http://schemas.microsoft.com/office/drawing/2014/main" id="{6D73628D-84A9-4895-8C92-2DC04B418051}"/>
            </a:ext>
          </a:extLst>
        </xdr:cNvPr>
        <xdr:cNvSpPr txBox="1"/>
      </xdr:nvSpPr>
      <xdr:spPr>
        <a:xfrm>
          <a:off x="205740" y="4099560"/>
          <a:ext cx="937260" cy="4953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cap="none" spc="0">
              <a:ln/>
              <a:solidFill>
                <a:srgbClr val="C00000"/>
              </a:solidFill>
              <a:effectLst>
                <a:outerShdw blurRad="38100" dist="19050" dir="2700000" algn="tl" rotWithShape="0">
                  <a:schemeClr val="dk1">
                    <a:lumMod val="50000"/>
                    <a:alpha val="40000"/>
                  </a:schemeClr>
                </a:outerShdw>
              </a:effectLst>
              <a:latin typeface="Arial Black" panose="020B0A04020102020204" pitchFamily="34" charset="0"/>
              <a:ea typeface="+mn-ea"/>
              <a:cs typeface="+mn-cs"/>
            </a:rPr>
            <a:t>Days to Deliver</a:t>
          </a:r>
          <a:endParaRPr lang="en-IN" sz="1100">
            <a:solidFill>
              <a:srgbClr val="C00000"/>
            </a:solidFill>
            <a:latin typeface="Arial Black" panose="020B0A04020102020204" pitchFamily="34" charset="0"/>
            <a:ea typeface="+mn-ea"/>
            <a:cs typeface="+mn-cs"/>
          </a:endParaRPr>
        </a:p>
      </xdr:txBody>
    </xdr:sp>
    <xdr:clientData/>
  </xdr:twoCellAnchor>
  <xdr:twoCellAnchor>
    <xdr:from>
      <xdr:col>3</xdr:col>
      <xdr:colOff>236220</xdr:colOff>
      <xdr:row>2</xdr:row>
      <xdr:rowOff>91440</xdr:rowOff>
    </xdr:from>
    <xdr:to>
      <xdr:col>9</xdr:col>
      <xdr:colOff>457200</xdr:colOff>
      <xdr:row>14</xdr:row>
      <xdr:rowOff>68580</xdr:rowOff>
    </xdr:to>
    <xdr:graphicFrame macro="">
      <xdr:nvGraphicFramePr>
        <xdr:cNvPr id="19" name="Chart 18">
          <a:extLst>
            <a:ext uri="{FF2B5EF4-FFF2-40B4-BE49-F238E27FC236}">
              <a16:creationId xmlns:a16="http://schemas.microsoft.com/office/drawing/2014/main" id="{E1590B53-998C-4A95-99C9-B140E93EC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289560</xdr:colOff>
      <xdr:row>2</xdr:row>
      <xdr:rowOff>167640</xdr:rowOff>
    </xdr:from>
    <xdr:to>
      <xdr:col>16</xdr:col>
      <xdr:colOff>388620</xdr:colOff>
      <xdr:row>8</xdr:row>
      <xdr:rowOff>175260</xdr:rowOff>
    </xdr:to>
    <xdr:pic>
      <xdr:nvPicPr>
        <xdr:cNvPr id="27" name="Picture 26">
          <a:extLst>
            <a:ext uri="{FF2B5EF4-FFF2-40B4-BE49-F238E27FC236}">
              <a16:creationId xmlns:a16="http://schemas.microsoft.com/office/drawing/2014/main" id="{7C548635-0EC7-5208-AEB7-5F373364C5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36920" y="533400"/>
          <a:ext cx="3756660" cy="11049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190500</xdr:colOff>
      <xdr:row>2</xdr:row>
      <xdr:rowOff>144780</xdr:rowOff>
    </xdr:from>
    <xdr:to>
      <xdr:col>23</xdr:col>
      <xdr:colOff>274320</xdr:colOff>
      <xdr:row>14</xdr:row>
      <xdr:rowOff>167640</xdr:rowOff>
    </xdr:to>
    <xdr:graphicFrame macro="">
      <xdr:nvGraphicFramePr>
        <xdr:cNvPr id="28" name="Chart 27">
          <a:extLst>
            <a:ext uri="{FF2B5EF4-FFF2-40B4-BE49-F238E27FC236}">
              <a16:creationId xmlns:a16="http://schemas.microsoft.com/office/drawing/2014/main" id="{7E0CD421-8B2A-4731-A7F2-1945572B4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228600</xdr:colOff>
      <xdr:row>18</xdr:row>
      <xdr:rowOff>7620</xdr:rowOff>
    </xdr:from>
    <xdr:to>
      <xdr:col>23</xdr:col>
      <xdr:colOff>243840</xdr:colOff>
      <xdr:row>29</xdr:row>
      <xdr:rowOff>99060</xdr:rowOff>
    </xdr:to>
    <xdr:graphicFrame macro="">
      <xdr:nvGraphicFramePr>
        <xdr:cNvPr id="30" name="Chart 29">
          <a:extLst>
            <a:ext uri="{FF2B5EF4-FFF2-40B4-BE49-F238E27FC236}">
              <a16:creationId xmlns:a16="http://schemas.microsoft.com/office/drawing/2014/main" id="{9F373A43-D03B-4472-AAF6-C5D04E850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289560</xdr:colOff>
      <xdr:row>9</xdr:row>
      <xdr:rowOff>83820</xdr:rowOff>
    </xdr:from>
    <xdr:to>
      <xdr:col>13</xdr:col>
      <xdr:colOff>243840</xdr:colOff>
      <xdr:row>14</xdr:row>
      <xdr:rowOff>152399</xdr:rowOff>
    </xdr:to>
    <mc:AlternateContent xmlns:mc="http://schemas.openxmlformats.org/markup-compatibility/2006" xmlns:a14="http://schemas.microsoft.com/office/drawing/2010/main">
      <mc:Choice Requires="a14">
        <xdr:graphicFrame macro="">
          <xdr:nvGraphicFramePr>
            <xdr:cNvPr id="32" name="Gender Value 1">
              <a:extLst>
                <a:ext uri="{FF2B5EF4-FFF2-40B4-BE49-F238E27FC236}">
                  <a16:creationId xmlns:a16="http://schemas.microsoft.com/office/drawing/2014/main" id="{DB31C78C-EB54-4319-97F3-02A9BFB244FE}"/>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5836920" y="1729740"/>
              <a:ext cx="1630680" cy="982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396240</xdr:colOff>
      <xdr:row>9</xdr:row>
      <xdr:rowOff>121920</xdr:rowOff>
    </xdr:from>
    <xdr:to>
      <xdr:col>16</xdr:col>
      <xdr:colOff>342900</xdr:colOff>
      <xdr:row>14</xdr:row>
      <xdr:rowOff>167640</xdr:rowOff>
    </xdr:to>
    <mc:AlternateContent xmlns:mc="http://schemas.openxmlformats.org/markup-compatibility/2006" xmlns:a14="http://schemas.microsoft.com/office/drawing/2010/main">
      <mc:Choice Requires="a14">
        <xdr:graphicFrame macro="">
          <xdr:nvGraphicFramePr>
            <xdr:cNvPr id="33" name="Order Mode 1">
              <a:extLst>
                <a:ext uri="{FF2B5EF4-FFF2-40B4-BE49-F238E27FC236}">
                  <a16:creationId xmlns:a16="http://schemas.microsoft.com/office/drawing/2014/main" id="{753FD0D4-CF16-4C13-937F-BFD1860E266E}"/>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7772400" y="1767840"/>
              <a:ext cx="177546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327660</xdr:colOff>
      <xdr:row>18</xdr:row>
      <xdr:rowOff>22860</xdr:rowOff>
    </xdr:from>
    <xdr:to>
      <xdr:col>16</xdr:col>
      <xdr:colOff>495300</xdr:colOff>
      <xdr:row>29</xdr:row>
      <xdr:rowOff>144780</xdr:rowOff>
    </xdr:to>
    <xdr:graphicFrame macro="">
      <xdr:nvGraphicFramePr>
        <xdr:cNvPr id="3" name="Chart 2">
          <a:extLst>
            <a:ext uri="{FF2B5EF4-FFF2-40B4-BE49-F238E27FC236}">
              <a16:creationId xmlns:a16="http://schemas.microsoft.com/office/drawing/2014/main" id="{20551AAF-BCB1-4662-89A9-7BF375B16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266700</xdr:colOff>
      <xdr:row>18</xdr:row>
      <xdr:rowOff>45720</xdr:rowOff>
    </xdr:from>
    <xdr:to>
      <xdr:col>9</xdr:col>
      <xdr:colOff>548640</xdr:colOff>
      <xdr:row>29</xdr:row>
      <xdr:rowOff>175260</xdr:rowOff>
    </xdr:to>
    <xdr:graphicFrame macro="">
      <xdr:nvGraphicFramePr>
        <xdr:cNvPr id="4" name="Chart 3">
          <a:extLst>
            <a:ext uri="{FF2B5EF4-FFF2-40B4-BE49-F238E27FC236}">
              <a16:creationId xmlns:a16="http://schemas.microsoft.com/office/drawing/2014/main" id="{4029F41A-451E-424F-BEF5-8166ADBE8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22860</xdr:colOff>
      <xdr:row>0</xdr:row>
      <xdr:rowOff>15240</xdr:rowOff>
    </xdr:from>
    <xdr:to>
      <xdr:col>2</xdr:col>
      <xdr:colOff>328264</xdr:colOff>
      <xdr:row>2</xdr:row>
      <xdr:rowOff>7620</xdr:rowOff>
    </xdr:to>
    <xdr:pic>
      <xdr:nvPicPr>
        <xdr:cNvPr id="6" name="Picture 5">
          <a:extLst>
            <a:ext uri="{FF2B5EF4-FFF2-40B4-BE49-F238E27FC236}">
              <a16:creationId xmlns:a16="http://schemas.microsoft.com/office/drawing/2014/main" id="{7F045883-BB25-48C4-AEFE-A24AE42FC35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22860" y="15240"/>
          <a:ext cx="1250284" cy="358140"/>
        </a:xfrm>
        <a:prstGeom prst="rect">
          <a:avLst/>
        </a:prstGeom>
        <a:solidFill>
          <a:schemeClr val="tx1"/>
        </a:solidFill>
      </xdr:spPr>
    </xdr:pic>
    <xdr:clientData/>
  </xdr:twoCellAnchor>
  <xdr:twoCellAnchor>
    <xdr:from>
      <xdr:col>5</xdr:col>
      <xdr:colOff>45720</xdr:colOff>
      <xdr:row>0</xdr:row>
      <xdr:rowOff>175260</xdr:rowOff>
    </xdr:from>
    <xdr:to>
      <xdr:col>8</xdr:col>
      <xdr:colOff>213360</xdr:colOff>
      <xdr:row>2</xdr:row>
      <xdr:rowOff>106680</xdr:rowOff>
    </xdr:to>
    <xdr:sp macro="" textlink="">
      <xdr:nvSpPr>
        <xdr:cNvPr id="13" name="TextBox 12">
          <a:extLst>
            <a:ext uri="{FF2B5EF4-FFF2-40B4-BE49-F238E27FC236}">
              <a16:creationId xmlns:a16="http://schemas.microsoft.com/office/drawing/2014/main" id="{6F0D9A1B-5197-471C-7BB7-DB5392C1E103}"/>
            </a:ext>
          </a:extLst>
        </xdr:cNvPr>
        <xdr:cNvSpPr txBox="1"/>
      </xdr:nvSpPr>
      <xdr:spPr>
        <a:xfrm>
          <a:off x="2545080" y="175260"/>
          <a:ext cx="1996440" cy="2971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a:solidFill>
                <a:schemeClr val="accent2">
                  <a:lumMod val="50000"/>
                </a:schemeClr>
              </a:solidFill>
              <a:latin typeface="Cambria" panose="02040503050406030204" pitchFamily="18" charset="0"/>
              <a:ea typeface="Cambria" panose="02040503050406030204" pitchFamily="18" charset="0"/>
            </a:rPr>
            <a:t>Trends In Last 13 Weeks</a:t>
          </a:r>
        </a:p>
      </xdr:txBody>
    </xdr:sp>
    <xdr:clientData/>
  </xdr:twoCellAnchor>
  <xdr:twoCellAnchor>
    <xdr:from>
      <xdr:col>11</xdr:col>
      <xdr:colOff>487680</xdr:colOff>
      <xdr:row>0</xdr:row>
      <xdr:rowOff>137160</xdr:rowOff>
    </xdr:from>
    <xdr:to>
      <xdr:col>15</xdr:col>
      <xdr:colOff>342900</xdr:colOff>
      <xdr:row>2</xdr:row>
      <xdr:rowOff>76200</xdr:rowOff>
    </xdr:to>
    <xdr:sp macro="" textlink="">
      <xdr:nvSpPr>
        <xdr:cNvPr id="3076" name="Text Box 4">
          <a:extLst>
            <a:ext uri="{FF2B5EF4-FFF2-40B4-BE49-F238E27FC236}">
              <a16:creationId xmlns:a16="http://schemas.microsoft.com/office/drawing/2014/main" id="{B0A470CF-1C5F-FDD7-3229-C28635CF0B27}"/>
            </a:ext>
          </a:extLst>
        </xdr:cNvPr>
        <xdr:cNvSpPr txBox="1">
          <a:spLocks noChangeArrowheads="1"/>
        </xdr:cNvSpPr>
      </xdr:nvSpPr>
      <xdr:spPr bwMode="auto">
        <a:xfrm>
          <a:off x="6644640" y="137160"/>
          <a:ext cx="2293620" cy="304800"/>
        </a:xfrm>
        <a:prstGeom prst="rect">
          <a:avLst/>
        </a:prstGeom>
        <a:noFill/>
        <a:ln w="9525">
          <a:noFill/>
          <a:miter lim="800000"/>
          <a:headEnd/>
          <a:tailEnd/>
        </a:ln>
      </xdr:spPr>
      <xdr:txBody>
        <a:bodyPr anchor="b"/>
        <a:lstStyle/>
        <a:p>
          <a:pPr algn="ctr"/>
          <a:r>
            <a:rPr lang="en-IN" sz="1100" b="1" i="0" u="none" strike="noStrike">
              <a:solidFill>
                <a:schemeClr val="accent2">
                  <a:lumMod val="50000"/>
                </a:schemeClr>
              </a:solidFill>
              <a:effectLst/>
              <a:latin typeface="Cambria" panose="02040503050406030204" pitchFamily="18" charset="0"/>
              <a:ea typeface="Cambria" panose="02040503050406030204" pitchFamily="18" charset="0"/>
              <a:cs typeface="+mn-cs"/>
            </a:rPr>
            <a:t>How Our Customers Like To Buy</a:t>
          </a:r>
          <a:endParaRPr lang="en-IN" b="1">
            <a:solidFill>
              <a:schemeClr val="accent2">
                <a:lumMod val="50000"/>
              </a:schemeClr>
            </a:solidFill>
            <a:latin typeface="Cambria" panose="02040503050406030204" pitchFamily="18" charset="0"/>
            <a:ea typeface="Cambria" panose="02040503050406030204" pitchFamily="18" charset="0"/>
          </a:endParaRPr>
        </a:p>
      </xdr:txBody>
    </xdr:sp>
    <xdr:clientData/>
  </xdr:twoCellAnchor>
  <xdr:twoCellAnchor>
    <xdr:from>
      <xdr:col>18</xdr:col>
      <xdr:colOff>457200</xdr:colOff>
      <xdr:row>1</xdr:row>
      <xdr:rowOff>15240</xdr:rowOff>
    </xdr:from>
    <xdr:to>
      <xdr:col>22</xdr:col>
      <xdr:colOff>15240</xdr:colOff>
      <xdr:row>2</xdr:row>
      <xdr:rowOff>129540</xdr:rowOff>
    </xdr:to>
    <xdr:sp macro="" textlink="">
      <xdr:nvSpPr>
        <xdr:cNvPr id="14" name="TextBox 13">
          <a:extLst>
            <a:ext uri="{FF2B5EF4-FFF2-40B4-BE49-F238E27FC236}">
              <a16:creationId xmlns:a16="http://schemas.microsoft.com/office/drawing/2014/main" id="{FAAE3BA9-EA3E-4854-9595-E81CF5D22CDE}"/>
            </a:ext>
          </a:extLst>
        </xdr:cNvPr>
        <xdr:cNvSpPr txBox="1"/>
      </xdr:nvSpPr>
      <xdr:spPr>
        <a:xfrm>
          <a:off x="10881360" y="198120"/>
          <a:ext cx="1996440" cy="2971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a:solidFill>
                <a:schemeClr val="accent2">
                  <a:lumMod val="50000"/>
                </a:schemeClr>
              </a:solidFill>
              <a:latin typeface="Cambria" panose="02040503050406030204" pitchFamily="18" charset="0"/>
              <a:ea typeface="Cambria" panose="02040503050406030204" pitchFamily="18" charset="0"/>
            </a:rPr>
            <a:t>How</a:t>
          </a:r>
          <a:r>
            <a:rPr lang="en-IN" sz="1100" b="1" i="0" baseline="0">
              <a:solidFill>
                <a:schemeClr val="accent2">
                  <a:lumMod val="50000"/>
                </a:schemeClr>
              </a:solidFill>
              <a:latin typeface="Cambria" panose="02040503050406030204" pitchFamily="18" charset="0"/>
              <a:ea typeface="Cambria" panose="02040503050406030204" pitchFamily="18" charset="0"/>
            </a:rPr>
            <a:t> Many Did They Buy</a:t>
          </a:r>
          <a:endParaRPr lang="en-IN" sz="1100" b="1" i="0">
            <a:solidFill>
              <a:schemeClr val="accent2">
                <a:lumMod val="50000"/>
              </a:schemeClr>
            </a:solidFill>
            <a:latin typeface="Cambria" panose="02040503050406030204" pitchFamily="18" charset="0"/>
            <a:ea typeface="Cambria" panose="02040503050406030204" pitchFamily="18" charset="0"/>
          </a:endParaRPr>
        </a:p>
      </xdr:txBody>
    </xdr:sp>
    <xdr:clientData/>
  </xdr:twoCellAnchor>
  <xdr:twoCellAnchor>
    <xdr:from>
      <xdr:col>11</xdr:col>
      <xdr:colOff>320040</xdr:colOff>
      <xdr:row>16</xdr:row>
      <xdr:rowOff>68580</xdr:rowOff>
    </xdr:from>
    <xdr:to>
      <xdr:col>15</xdr:col>
      <xdr:colOff>434340</xdr:colOff>
      <xdr:row>18</xdr:row>
      <xdr:rowOff>0</xdr:rowOff>
    </xdr:to>
    <xdr:sp macro="" textlink="">
      <xdr:nvSpPr>
        <xdr:cNvPr id="22" name="TextBox 21">
          <a:extLst>
            <a:ext uri="{FF2B5EF4-FFF2-40B4-BE49-F238E27FC236}">
              <a16:creationId xmlns:a16="http://schemas.microsoft.com/office/drawing/2014/main" id="{89C703CB-2DE9-4DBF-A9F3-672BF9B78521}"/>
            </a:ext>
          </a:extLst>
        </xdr:cNvPr>
        <xdr:cNvSpPr txBox="1"/>
      </xdr:nvSpPr>
      <xdr:spPr>
        <a:xfrm>
          <a:off x="6477000" y="2994660"/>
          <a:ext cx="2552700" cy="2971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accent1">
                  <a:lumMod val="50000"/>
                </a:schemeClr>
              </a:solidFill>
              <a:effectLst/>
              <a:latin typeface="Cambria" panose="02040503050406030204" pitchFamily="18" charset="0"/>
              <a:ea typeface="Cambria" panose="02040503050406030204" pitchFamily="18" charset="0"/>
              <a:cs typeface="+mn-cs"/>
            </a:rPr>
            <a:t>How Long We Take To Ship Orders</a:t>
          </a:r>
          <a:endParaRPr lang="en-IN" sz="1100" b="1" i="0">
            <a:solidFill>
              <a:schemeClr val="accent1">
                <a:lumMod val="50000"/>
              </a:schemeClr>
            </a:solidFill>
            <a:latin typeface="Cambria" panose="02040503050406030204" pitchFamily="18" charset="0"/>
            <a:ea typeface="Cambria" panose="02040503050406030204" pitchFamily="18" charset="0"/>
          </a:endParaRPr>
        </a:p>
      </xdr:txBody>
    </xdr:sp>
    <xdr:clientData/>
  </xdr:twoCellAnchor>
  <xdr:twoCellAnchor>
    <xdr:from>
      <xdr:col>18</xdr:col>
      <xdr:colOff>312420</xdr:colOff>
      <xdr:row>16</xdr:row>
      <xdr:rowOff>45720</xdr:rowOff>
    </xdr:from>
    <xdr:to>
      <xdr:col>22</xdr:col>
      <xdr:colOff>426720</xdr:colOff>
      <xdr:row>17</xdr:row>
      <xdr:rowOff>160020</xdr:rowOff>
    </xdr:to>
    <xdr:sp macro="" textlink="">
      <xdr:nvSpPr>
        <xdr:cNvPr id="24" name="TextBox 23">
          <a:extLst>
            <a:ext uri="{FF2B5EF4-FFF2-40B4-BE49-F238E27FC236}">
              <a16:creationId xmlns:a16="http://schemas.microsoft.com/office/drawing/2014/main" id="{10962B8F-BA03-412F-9429-935DB4FE2616}"/>
            </a:ext>
          </a:extLst>
        </xdr:cNvPr>
        <xdr:cNvSpPr txBox="1"/>
      </xdr:nvSpPr>
      <xdr:spPr>
        <a:xfrm>
          <a:off x="10736580" y="2971800"/>
          <a:ext cx="2552700" cy="2971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accent1">
                  <a:lumMod val="50000"/>
                </a:schemeClr>
              </a:solidFill>
              <a:effectLst/>
              <a:latin typeface="Cambria" panose="02040503050406030204" pitchFamily="18" charset="0"/>
              <a:ea typeface="Cambria" panose="02040503050406030204" pitchFamily="18" charset="0"/>
              <a:cs typeface="+mn-cs"/>
            </a:rPr>
            <a:t>Ratings</a:t>
          </a:r>
          <a:endParaRPr lang="en-IN" sz="1100" b="1" i="0">
            <a:solidFill>
              <a:schemeClr val="accent1">
                <a:lumMod val="50000"/>
              </a:schemeClr>
            </a:solidFill>
            <a:latin typeface="Cambria" panose="02040503050406030204" pitchFamily="18" charset="0"/>
            <a:ea typeface="Cambria" panose="02040503050406030204" pitchFamily="18" charset="0"/>
          </a:endParaRPr>
        </a:p>
      </xdr:txBody>
    </xdr:sp>
    <xdr:clientData/>
  </xdr:twoCellAnchor>
  <xdr:twoCellAnchor>
    <xdr:from>
      <xdr:col>4</xdr:col>
      <xdr:colOff>419100</xdr:colOff>
      <xdr:row>16</xdr:row>
      <xdr:rowOff>91440</xdr:rowOff>
    </xdr:from>
    <xdr:to>
      <xdr:col>8</xdr:col>
      <xdr:colOff>533400</xdr:colOff>
      <xdr:row>18</xdr:row>
      <xdr:rowOff>22860</xdr:rowOff>
    </xdr:to>
    <xdr:sp macro="" textlink="">
      <xdr:nvSpPr>
        <xdr:cNvPr id="25" name="TextBox 24">
          <a:extLst>
            <a:ext uri="{FF2B5EF4-FFF2-40B4-BE49-F238E27FC236}">
              <a16:creationId xmlns:a16="http://schemas.microsoft.com/office/drawing/2014/main" id="{3E542576-4E42-46F0-9232-A5433A573523}"/>
            </a:ext>
          </a:extLst>
        </xdr:cNvPr>
        <xdr:cNvSpPr txBox="1"/>
      </xdr:nvSpPr>
      <xdr:spPr>
        <a:xfrm>
          <a:off x="2308860" y="3017520"/>
          <a:ext cx="2552700" cy="2971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accent1">
                  <a:lumMod val="50000"/>
                </a:schemeClr>
              </a:solidFill>
              <a:effectLst/>
              <a:latin typeface="Cambria" panose="02040503050406030204" pitchFamily="18" charset="0"/>
              <a:ea typeface="Cambria" panose="02040503050406030204" pitchFamily="18" charset="0"/>
              <a:cs typeface="+mn-cs"/>
            </a:rPr>
            <a:t>Which Products Are</a:t>
          </a:r>
          <a:r>
            <a:rPr lang="en-IN" sz="1100" b="1" i="0" u="none" strike="noStrike" baseline="0">
              <a:solidFill>
                <a:schemeClr val="accent1">
                  <a:lumMod val="50000"/>
                </a:schemeClr>
              </a:solidFill>
              <a:effectLst/>
              <a:latin typeface="Cambria" panose="02040503050406030204" pitchFamily="18" charset="0"/>
              <a:ea typeface="Cambria" panose="02040503050406030204" pitchFamily="18" charset="0"/>
              <a:cs typeface="+mn-cs"/>
            </a:rPr>
            <a:t> Popular</a:t>
          </a:r>
          <a:endParaRPr lang="en-IN" sz="1100" b="1" i="0">
            <a:solidFill>
              <a:schemeClr val="accent1">
                <a:lumMod val="50000"/>
              </a:schemeClr>
            </a:solidFill>
            <a:latin typeface="Cambria" panose="02040503050406030204" pitchFamily="18" charset="0"/>
            <a:ea typeface="Cambria" panose="020405030504060302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815340</xdr:colOff>
      <xdr:row>41</xdr:row>
      <xdr:rowOff>152400</xdr:rowOff>
    </xdr:from>
    <xdr:to>
      <xdr:col>9</xdr:col>
      <xdr:colOff>0</xdr:colOff>
      <xdr:row>51</xdr:row>
      <xdr:rowOff>167640</xdr:rowOff>
    </xdr:to>
    <xdr:graphicFrame macro="">
      <xdr:nvGraphicFramePr>
        <xdr:cNvPr id="5" name="Chart 4">
          <a:extLst>
            <a:ext uri="{FF2B5EF4-FFF2-40B4-BE49-F238E27FC236}">
              <a16:creationId xmlns:a16="http://schemas.microsoft.com/office/drawing/2014/main" id="{CAC7B86F-6D26-4AF6-8208-843ACDC58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144780</xdr:colOff>
      <xdr:row>42</xdr:row>
      <xdr:rowOff>22860</xdr:rowOff>
    </xdr:from>
    <xdr:to>
      <xdr:col>5</xdr:col>
      <xdr:colOff>571500</xdr:colOff>
      <xdr:row>51</xdr:row>
      <xdr:rowOff>99060</xdr:rowOff>
    </xdr:to>
    <xdr:graphicFrame macro="">
      <xdr:nvGraphicFramePr>
        <xdr:cNvPr id="6" name="Chart 5">
          <a:extLst>
            <a:ext uri="{FF2B5EF4-FFF2-40B4-BE49-F238E27FC236}">
              <a16:creationId xmlns:a16="http://schemas.microsoft.com/office/drawing/2014/main" id="{D545F55E-8C43-4363-0F38-6543F9E44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198120</xdr:colOff>
      <xdr:row>52</xdr:row>
      <xdr:rowOff>137160</xdr:rowOff>
    </xdr:from>
    <xdr:to>
      <xdr:col>5</xdr:col>
      <xdr:colOff>594360</xdr:colOff>
      <xdr:row>62</xdr:row>
      <xdr:rowOff>68580</xdr:rowOff>
    </xdr:to>
    <xdr:graphicFrame macro="">
      <xdr:nvGraphicFramePr>
        <xdr:cNvPr id="7" name="Chart 6">
          <a:extLst>
            <a:ext uri="{FF2B5EF4-FFF2-40B4-BE49-F238E27FC236}">
              <a16:creationId xmlns:a16="http://schemas.microsoft.com/office/drawing/2014/main" id="{2B10EF39-121E-C616-3EBA-1397E22F9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167640</xdr:colOff>
      <xdr:row>133</xdr:row>
      <xdr:rowOff>76200</xdr:rowOff>
    </xdr:from>
    <xdr:to>
      <xdr:col>7</xdr:col>
      <xdr:colOff>243840</xdr:colOff>
      <xdr:row>145</xdr:row>
      <xdr:rowOff>53340</xdr:rowOff>
    </xdr:to>
    <xdr:graphicFrame macro="">
      <xdr:nvGraphicFramePr>
        <xdr:cNvPr id="8" name="Chart 7">
          <a:extLst>
            <a:ext uri="{FF2B5EF4-FFF2-40B4-BE49-F238E27FC236}">
              <a16:creationId xmlns:a16="http://schemas.microsoft.com/office/drawing/2014/main" id="{692CCEF3-6845-C306-C7C9-83827E58B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198120</xdr:colOff>
      <xdr:row>147</xdr:row>
      <xdr:rowOff>137160</xdr:rowOff>
    </xdr:from>
    <xdr:to>
      <xdr:col>12</xdr:col>
      <xdr:colOff>426720</xdr:colOff>
      <xdr:row>158</xdr:row>
      <xdr:rowOff>60960</xdr:rowOff>
    </xdr:to>
    <xdr:graphicFrame macro="">
      <xdr:nvGraphicFramePr>
        <xdr:cNvPr id="10" name="Chart 9">
          <a:extLst>
            <a:ext uri="{FF2B5EF4-FFF2-40B4-BE49-F238E27FC236}">
              <a16:creationId xmlns:a16="http://schemas.microsoft.com/office/drawing/2014/main" id="{A271490B-6D37-C7F2-5DCB-8344866AF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297180</xdr:colOff>
      <xdr:row>139</xdr:row>
      <xdr:rowOff>22861</xdr:rowOff>
    </xdr:from>
    <xdr:to>
      <xdr:col>11</xdr:col>
      <xdr:colOff>843422</xdr:colOff>
      <xdr:row>145</xdr:row>
      <xdr:rowOff>68581</xdr:rowOff>
    </xdr:to>
    <mc:AlternateContent xmlns:mc="http://schemas.openxmlformats.org/markup-compatibility/2006" xmlns:a14="http://schemas.microsoft.com/office/drawing/2010/main">
      <mc:Choice Requires="a14">
        <xdr:graphicFrame macro="">
          <xdr:nvGraphicFramePr>
            <xdr:cNvPr id="11" name="Order Mode">
              <a:extLst>
                <a:ext uri="{FF2B5EF4-FFF2-40B4-BE49-F238E27FC236}">
                  <a16:creationId xmlns:a16="http://schemas.microsoft.com/office/drawing/2014/main" id="{FA85622F-CADB-9A60-2CE5-C9E79F276FE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9414286" y="24944743"/>
              <a:ext cx="1433748" cy="1121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167640</xdr:colOff>
      <xdr:row>139</xdr:row>
      <xdr:rowOff>22861</xdr:rowOff>
    </xdr:from>
    <xdr:to>
      <xdr:col>10</xdr:col>
      <xdr:colOff>134471</xdr:colOff>
      <xdr:row>145</xdr:row>
      <xdr:rowOff>30481</xdr:rowOff>
    </xdr:to>
    <mc:AlternateContent xmlns:mc="http://schemas.openxmlformats.org/markup-compatibility/2006" xmlns:a14="http://schemas.microsoft.com/office/drawing/2010/main">
      <mc:Choice Requires="a14">
        <xdr:graphicFrame macro="">
          <xdr:nvGraphicFramePr>
            <xdr:cNvPr id="12" name="Gender Value">
              <a:extLst>
                <a:ext uri="{FF2B5EF4-FFF2-40B4-BE49-F238E27FC236}">
                  <a16:creationId xmlns:a16="http://schemas.microsoft.com/office/drawing/2014/main" id="{5B3D85C1-0A12-8852-3C8A-DFC3A734DB02}"/>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7966934" y="24944743"/>
              <a:ext cx="1302572" cy="1083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 Bhamare" refreshedDate="46041.958911805559" createdVersion="8" refreshedVersion="8" minRefreshableVersion="3" recordCount="2400" xr:uid="{E24FCAC5-65B1-4C14-B401-767287AB71AE}">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679174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CA92BD-B8D1-45CF-9286-91DD53FB04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57:H62" firstHeaderRow="1" firstDataRow="1" firstDataCol="1"/>
  <pivotFields count="18">
    <pivotField showAll="0"/>
    <pivotField dataField="1"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Count of Product"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7BA7A9-7733-4B4F-82F4-D42D268BF66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3:B64" firstHeaderRow="1" firstDataRow="1"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Items count="1">
    <i/>
  </colItems>
  <dataFields count="1">
    <dataField name="Total Quantity" fld="2" baseField="1" baseItem="18"/>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446F81-AB91-4D60-9F85-1E726161CF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Total Quantity" fld="2" baseField="13" baseItem="0"/>
    <dataField name="Total Amount" fld="4" baseField="13" baseItem="0" numFmtId="165"/>
  </dataFields>
  <formats count="2">
    <format dxfId="5">
      <pivotArea collapsedLevelsAreSubtotals="1" fieldPosition="0">
        <references count="2">
          <reference field="4294967294" count="1" selected="0">
            <x v="1"/>
          </reference>
          <reference field="13" count="1">
            <x v="0"/>
          </reference>
        </references>
      </pivotArea>
    </format>
    <format dxfId="4">
      <pivotArea outline="0" collapsedLevelsAreSubtotals="1" fieldPosition="0">
        <references count="1">
          <reference field="4294967294" count="1" selected="0">
            <x v="1"/>
          </reference>
        </references>
      </pivotArea>
    </format>
  </formats>
  <chartFormats count="2">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12DF96-FC07-48AE-B751-8DEEBE02B2D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9:G154" firstHeaderRow="1" firstDataRow="2" firstDataCol="1"/>
  <pivotFields count="18">
    <pivotField subtotalTop="0" showAll="0"/>
    <pivotField dataField="1" subtotalTop="0" showAll="0">
      <items count="21">
        <item x="14"/>
        <item x="10"/>
        <item x="12"/>
        <item x="15"/>
        <item x="4"/>
        <item x="7"/>
        <item x="6"/>
        <item x="19"/>
        <item x="18"/>
        <item x="11"/>
        <item x="17"/>
        <item x="5"/>
        <item x="0"/>
        <item x="2"/>
        <item x="9"/>
        <item x="16"/>
        <item x="1"/>
        <item x="13"/>
        <item x="8"/>
        <item x="3"/>
        <item t="default"/>
      </items>
    </pivotField>
    <pivotField subtotalTop="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ubtotalTop="0" showAll="0"/>
    <pivotField subtotalTop="0" showAll="0"/>
    <pivotField axis="axisRow" numFmtId="15" subtotalTop="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ubtotalTop="0" showAll="0"/>
    <pivotField subtotalTop="0" showAll="0"/>
    <pivotField subtotalTop="0" showAll="0">
      <items count="6">
        <item x="0"/>
        <item x="3"/>
        <item x="4"/>
        <item x="2"/>
        <item x="1"/>
        <item t="default"/>
      </items>
    </pivotField>
    <pivotField axis="axisCol" subtotalTop="0" showAll="0">
      <items count="6">
        <item x="3"/>
        <item x="4"/>
        <item x="1"/>
        <item x="0"/>
        <item x="2"/>
        <item t="default"/>
      </items>
    </pivotField>
    <pivotField subtotalTop="0" showAll="0"/>
    <pivotField subtotalTop="0" showAll="0"/>
    <pivotField subtotalTop="0" showAll="0"/>
    <pivotField subtotalTop="0" showAll="0"/>
    <pivotField subtotalTop="0" showAll="0">
      <items count="5">
        <item x="2"/>
        <item x="1"/>
        <item x="3"/>
        <item x="0"/>
        <item t="default"/>
      </items>
    </pivotField>
    <pivotField subtotalTop="0" showAll="0">
      <items count="8">
        <item x="0"/>
        <item x="1"/>
        <item x="2"/>
        <item x="3"/>
        <item x="4"/>
        <item x="5"/>
        <item x="6"/>
        <item t="default"/>
      </items>
    </pivotField>
    <pivotField axis="axisRow"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ubtotalTop="0" showAll="0">
      <items count="15">
        <item sd="0" x="0"/>
        <item sd="0" x="1"/>
        <item sd="0" x="2"/>
        <item sd="0" x="3"/>
        <item sd="0" x="4"/>
        <item sd="0" x="5"/>
        <item sd="0" x="6"/>
        <item sd="0" x="7"/>
        <item sd="0" x="8"/>
        <item sd="0" x="9"/>
        <item sd="0" x="10"/>
        <item sd="0" x="11"/>
        <item sd="0" x="12"/>
        <item sd="0" x="13"/>
        <item t="default"/>
      </items>
    </pivotField>
  </pivotFields>
  <rowFields count="3">
    <field x="17"/>
    <field x="16"/>
    <field x="5"/>
  </rowFields>
  <rowItems count="4">
    <i>
      <x v="1"/>
    </i>
    <i>
      <x v="2"/>
    </i>
    <i>
      <x v="3"/>
    </i>
    <i t="grand">
      <x/>
    </i>
  </rowItems>
  <colFields count="1">
    <field x="9"/>
  </colFields>
  <colItems count="6">
    <i>
      <x/>
    </i>
    <i>
      <x v="1"/>
    </i>
    <i>
      <x v="2"/>
    </i>
    <i>
      <x v="3"/>
    </i>
    <i>
      <x v="4"/>
    </i>
    <i t="grand">
      <x/>
    </i>
  </colItems>
  <dataFields count="1">
    <dataField name="Count of Product" fld="1" subtotal="count" baseField="0" baseItem="0"/>
  </dataFields>
  <chartFormats count="16">
    <chartFormat chart="0" format="91" series="1">
      <pivotArea type="data" outline="0" fieldPosition="0">
        <references count="2">
          <reference field="4294967294" count="1" selected="0">
            <x v="0"/>
          </reference>
          <reference field="9" count="1" selected="0">
            <x v="0"/>
          </reference>
        </references>
      </pivotArea>
    </chartFormat>
    <chartFormat chart="0" format="92" series="1">
      <pivotArea type="data" outline="0" fieldPosition="0">
        <references count="2">
          <reference field="4294967294" count="1" selected="0">
            <x v="0"/>
          </reference>
          <reference field="9" count="1" selected="0">
            <x v="1"/>
          </reference>
        </references>
      </pivotArea>
    </chartFormat>
    <chartFormat chart="0" format="93" series="1">
      <pivotArea type="data" outline="0" fieldPosition="0">
        <references count="2">
          <reference field="4294967294" count="1" selected="0">
            <x v="0"/>
          </reference>
          <reference field="9" count="1" selected="0">
            <x v="2"/>
          </reference>
        </references>
      </pivotArea>
    </chartFormat>
    <chartFormat chart="0" format="94" series="1">
      <pivotArea type="data" outline="0" fieldPosition="0">
        <references count="2">
          <reference field="4294967294" count="1" selected="0">
            <x v="0"/>
          </reference>
          <reference field="9" count="1" selected="0">
            <x v="3"/>
          </reference>
        </references>
      </pivotArea>
    </chartFormat>
    <chartFormat chart="0" format="95" series="1">
      <pivotArea type="data" outline="0" fieldPosition="0">
        <references count="2">
          <reference field="4294967294" count="1" selected="0">
            <x v="0"/>
          </reference>
          <reference field="9" count="1" selected="0">
            <x v="4"/>
          </reference>
        </references>
      </pivotArea>
    </chartFormat>
    <chartFormat chart="0" format="96"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1"/>
          </reference>
        </references>
      </pivotArea>
    </chartFormat>
    <chartFormat chart="2" format="2" series="1">
      <pivotArea type="data" outline="0" fieldPosition="0">
        <references count="2">
          <reference field="4294967294" count="1" selected="0">
            <x v="0"/>
          </reference>
          <reference field="9" count="1" selected="0">
            <x v="2"/>
          </reference>
        </references>
      </pivotArea>
    </chartFormat>
    <chartFormat chart="2" format="3" series="1">
      <pivotArea type="data" outline="0" fieldPosition="0">
        <references count="2">
          <reference field="4294967294" count="1" selected="0">
            <x v="0"/>
          </reference>
          <reference field="9" count="1" selected="0">
            <x v="3"/>
          </reference>
        </references>
      </pivotArea>
    </chartFormat>
    <chartFormat chart="2" format="4" series="1">
      <pivotArea type="data" outline="0" fieldPosition="0">
        <references count="2">
          <reference field="4294967294" count="1" selected="0">
            <x v="0"/>
          </reference>
          <reference field="9" count="1" selected="0">
            <x v="4"/>
          </reference>
        </references>
      </pivotArea>
    </chartFormat>
    <chartFormat chart="5" format="10" series="1">
      <pivotArea type="data" outline="0" fieldPosition="0">
        <references count="2">
          <reference field="4294967294" count="1" selected="0">
            <x v="0"/>
          </reference>
          <reference field="9" count="1" selected="0">
            <x v="0"/>
          </reference>
        </references>
      </pivotArea>
    </chartFormat>
    <chartFormat chart="5" format="11" series="1">
      <pivotArea type="data" outline="0" fieldPosition="0">
        <references count="2">
          <reference field="4294967294" count="1" selected="0">
            <x v="0"/>
          </reference>
          <reference field="9" count="1" selected="0">
            <x v="1"/>
          </reference>
        </references>
      </pivotArea>
    </chartFormat>
    <chartFormat chart="5" format="12" series="1">
      <pivotArea type="data" outline="0" fieldPosition="0">
        <references count="2">
          <reference field="4294967294" count="1" selected="0">
            <x v="0"/>
          </reference>
          <reference field="9" count="1" selected="0">
            <x v="2"/>
          </reference>
        </references>
      </pivotArea>
    </chartFormat>
    <chartFormat chart="5" format="13" series="1">
      <pivotArea type="data" outline="0" fieldPosition="0">
        <references count="2">
          <reference field="4294967294" count="1" selected="0">
            <x v="0"/>
          </reference>
          <reference field="9" count="1" selected="0">
            <x v="3"/>
          </reference>
        </references>
      </pivotArea>
    </chartFormat>
    <chartFormat chart="5"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0F8AE2-66C4-4D66-8AC1-D6C3A908AB7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0:B146" firstHeaderRow="1" firstDataRow="1"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Ship Date" fld="6"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3D1913-4506-4A3A-9A47-8DE5B929DBF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46:L51" firstHeaderRow="1" firstDataRow="1" firstDataCol="1"/>
  <pivotFields count="18">
    <pivotField showAll="0"/>
    <pivotField dataField="1"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Count of Product"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EDE513-7363-4DF9-B478-1B6B9A96E8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AA9050-6AA4-4C55-A0E7-ABAB293348F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1:B3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name="Ordered Quantity" axis="axisRow"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No. Of Orders" fld="0" subtotal="count" baseField="15"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6FBD2E-9565-4FCF-9CFB-ED7B4AF3646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J1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Count of TX 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A0DF3C-BFF4-48A3-8586-B1D88F3DCA27}"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8:D126"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20765C14-DA5E-443E-83EE-51031F670117}" sourceName="Order Mode">
  <pivotTables>
    <pivotTable tabId="7" name="PivotTable20"/>
    <pivotTable tabId="7" name="PivotTable1"/>
    <pivotTable tabId="7" name="PivotTable10"/>
    <pivotTable tabId="7" name="PivotTable13"/>
    <pivotTable tabId="7" name="PivotTable19"/>
    <pivotTable tabId="7" name="PivotTable2"/>
    <pivotTable tabId="7" name="PivotTable7"/>
    <pivotTable tabId="7" name="PivotTable8"/>
    <pivotTable tabId="7" name="PivotTable9"/>
    <pivotTable tabId="7" name="PivotTable3"/>
  </pivotTables>
  <data>
    <tabular pivotCacheId="679174670">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76C3D17-34CF-49C9-BE50-83BBBAD1829D}" sourceName="Gender Value">
  <pivotTables>
    <pivotTable tabId="7" name="PivotTable20"/>
    <pivotTable tabId="7" name="PivotTable1"/>
    <pivotTable tabId="7" name="PivotTable10"/>
    <pivotTable tabId="7" name="PivotTable13"/>
    <pivotTable tabId="7" name="PivotTable19"/>
    <pivotTable tabId="7" name="PivotTable2"/>
    <pivotTable tabId="7" name="PivotTable7"/>
    <pivotTable tabId="7" name="PivotTable8"/>
    <pivotTable tabId="7" name="PivotTable9"/>
    <pivotTable tabId="7" name="PivotTable3"/>
  </pivotTables>
  <data>
    <tabular pivotCacheId="67917467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18146B0E-A327-41DD-996A-F1309FB8CB85}" cache="Slicer_Order_Mode" caption="Order Mode" startItem="3" rowHeight="247650"/>
  <slicer name="Gender Value 1" xr10:uid="{98D19261-1119-4884-8B92-C2E3210EB20C}" cache="Slicer_Gender_Value" caption="Gender Value" style="SlicerStyleDark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E4AE9DA0-28F6-4F20-9D20-4C545385AF67}" cache="Slicer_Order_Mode" caption="Order Mode" style="SlicerStyleDark1" rowHeight="247650"/>
  <slicer name="Gender Value" xr10:uid="{374D1C79-208F-46ED-80DD-B2FC5324688E}"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10"/>
    <tableColumn id="7" xr3:uid="{43BB5DBF-46E1-4185-80C0-4361F55A385C}" name="Ship Date" dataDxfId="9"/>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8">
      <calculatedColumnFormula>orders[[#This Row],[Ship Date]]-orders[[#This Row],[Order Date]]</calculatedColumnFormula>
    </tableColumn>
    <tableColumn id="12" xr3:uid="{B071C0DA-87A9-4516-B4D9-4F5B7D3FF44A}" name="Weeknum" dataDxfId="7">
      <calculatedColumnFormula>WEEKNUM(orders[[#This Row],[Order Date]])</calculatedColumnFormula>
    </tableColumn>
    <tableColumn id="13" xr3:uid="{B8EA9E28-7541-4E76-9935-C26438661A18}" name="Gender Value" dataDxfId="6">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zoomScaleNormal="100" workbookViewId="0">
      <selection activeCell="Q7" sqref="Q7"/>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2" t="s">
        <v>12</v>
      </c>
      <c r="N1" s="22" t="s">
        <v>13</v>
      </c>
      <c r="O1" s="2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2" sqref="B2"/>
    </sheetView>
  </sheetViews>
  <sheetFormatPr defaultRowHeight="14.4" x14ac:dyDescent="0.3"/>
  <cols>
    <col min="1" max="1" width="3.6640625" customWidth="1"/>
    <col min="2" max="2" width="52.77734375" customWidth="1"/>
  </cols>
  <sheetData>
    <row r="2" spans="2:2" x14ac:dyDescent="0.3">
      <c r="B2" s="21" t="s">
        <v>2503</v>
      </c>
    </row>
    <row r="3" spans="2:2" x14ac:dyDescent="0.3">
      <c r="B3" s="2" t="s">
        <v>2504</v>
      </c>
    </row>
    <row r="4" spans="2:2" x14ac:dyDescent="0.3">
      <c r="B4" s="2" t="s">
        <v>2505</v>
      </c>
    </row>
    <row r="5" spans="2:2" x14ac:dyDescent="0.3">
      <c r="B5" s="2" t="s">
        <v>2506</v>
      </c>
    </row>
    <row r="6" spans="2:2" x14ac:dyDescent="0.3">
      <c r="B6" s="2" t="s">
        <v>2507</v>
      </c>
    </row>
    <row r="7" spans="2:2" x14ac:dyDescent="0.3">
      <c r="B7" s="2" t="s">
        <v>2508</v>
      </c>
    </row>
    <row r="10" spans="2:2" x14ac:dyDescent="0.3">
      <c r="B10" s="21"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88412-3CE1-4758-988F-BB2BAE801707}">
  <dimension ref="A1"/>
  <sheetViews>
    <sheetView tabSelected="1" workbookViewId="0">
      <selection activeCell="F13" sqref="F13"/>
    </sheetView>
  </sheetViews>
  <sheetFormatPr defaultRowHeight="14.4" x14ac:dyDescent="0.3"/>
  <cols>
    <col min="1" max="1" width="4.88671875" customWidth="1"/>
    <col min="3" max="3" width="4.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4D3CA-11AC-4455-A562-1D5693B79105}">
  <dimension ref="A3:L154"/>
  <sheetViews>
    <sheetView topLeftCell="A55" zoomScale="85" zoomScaleNormal="85" workbookViewId="0">
      <selection activeCell="O36" sqref="O36"/>
    </sheetView>
  </sheetViews>
  <sheetFormatPr defaultRowHeight="14.4" x14ac:dyDescent="0.3"/>
  <cols>
    <col min="1" max="1" width="20" bestFit="1" customWidth="1"/>
    <col min="2" max="2" width="12.77734375" bestFit="1" customWidth="1"/>
    <col min="3" max="3" width="12.109375" bestFit="1" customWidth="1"/>
    <col min="4" max="4" width="14.109375" bestFit="1" customWidth="1"/>
    <col min="5" max="5" width="13" bestFit="1" customWidth="1"/>
    <col min="6" max="6" width="16.21875" bestFit="1" customWidth="1"/>
    <col min="7" max="7" width="13" bestFit="1" customWidth="1"/>
    <col min="8" max="8" width="15.21875" bestFit="1" customWidth="1"/>
    <col min="9" max="9" width="8.88671875" bestFit="1" customWidth="1"/>
    <col min="10" max="10" width="10.5546875" bestFit="1" customWidth="1"/>
    <col min="11" max="11" width="13" bestFit="1" customWidth="1"/>
    <col min="12" max="12" width="15.21875" bestFit="1" customWidth="1"/>
    <col min="13" max="32" width="9" bestFit="1" customWidth="1"/>
    <col min="33" max="89" width="9.44140625" bestFit="1" customWidth="1"/>
    <col min="90" max="90" width="2" bestFit="1" customWidth="1"/>
    <col min="91" max="91" width="3" bestFit="1" customWidth="1"/>
    <col min="92" max="92" width="2" bestFit="1" customWidth="1"/>
    <col min="93" max="93" width="11" bestFit="1" customWidth="1"/>
    <col min="94" max="95" width="2" bestFit="1" customWidth="1"/>
    <col min="96" max="96" width="11" bestFit="1" customWidth="1"/>
    <col min="97" max="99" width="2" bestFit="1" customWidth="1"/>
    <col min="100" max="100" width="11" bestFit="1" customWidth="1"/>
    <col min="101" max="103" width="3" bestFit="1" customWidth="1"/>
    <col min="104" max="104" width="11" bestFit="1" customWidth="1"/>
    <col min="105" max="107" width="2" bestFit="1" customWidth="1"/>
    <col min="108" max="108" width="11" bestFit="1" customWidth="1"/>
    <col min="109" max="110" width="2" bestFit="1" customWidth="1"/>
    <col min="111" max="111" width="11" bestFit="1" customWidth="1"/>
    <col min="112" max="113" width="3" bestFit="1" customWidth="1"/>
    <col min="114" max="114" width="11" bestFit="1" customWidth="1"/>
    <col min="115" max="115" width="3" bestFit="1" customWidth="1"/>
    <col min="116" max="116" width="2" bestFit="1" customWidth="1"/>
    <col min="117" max="117" width="11" bestFit="1" customWidth="1"/>
    <col min="118" max="119" width="2" bestFit="1" customWidth="1"/>
    <col min="120" max="120" width="3" bestFit="1" customWidth="1"/>
    <col min="121" max="121" width="11.44140625" bestFit="1" customWidth="1"/>
    <col min="122" max="124" width="2" bestFit="1" customWidth="1"/>
    <col min="125" max="125" width="11.44140625" bestFit="1" customWidth="1"/>
    <col min="126" max="128" width="3" bestFit="1" customWidth="1"/>
    <col min="129" max="129" width="11.44140625" bestFit="1" customWidth="1"/>
    <col min="130" max="130" width="2" bestFit="1" customWidth="1"/>
    <col min="131" max="131" width="3" bestFit="1" customWidth="1"/>
    <col min="132" max="132" width="2" bestFit="1" customWidth="1"/>
    <col min="133" max="133" width="11.44140625" bestFit="1" customWidth="1"/>
    <col min="134" max="136" width="3" bestFit="1" customWidth="1"/>
    <col min="137" max="137" width="11.44140625" bestFit="1" customWidth="1"/>
    <col min="138" max="139" width="2" bestFit="1" customWidth="1"/>
    <col min="140" max="140" width="3" bestFit="1" customWidth="1"/>
    <col min="141" max="141" width="11.44140625" bestFit="1" customWidth="1"/>
    <col min="142" max="144" width="3" bestFit="1" customWidth="1"/>
    <col min="145" max="145" width="11.44140625" bestFit="1" customWidth="1"/>
    <col min="146" max="147" width="2" bestFit="1" customWidth="1"/>
    <col min="148" max="148" width="11.44140625" bestFit="1" customWidth="1"/>
    <col min="149" max="149" width="2" bestFit="1" customWidth="1"/>
    <col min="150" max="150" width="3" bestFit="1" customWidth="1"/>
    <col min="151" max="151" width="2" bestFit="1" customWidth="1"/>
    <col min="152" max="152" width="11.44140625" bestFit="1" customWidth="1"/>
    <col min="153" max="154" width="2" bestFit="1" customWidth="1"/>
    <col min="155" max="156" width="3" bestFit="1" customWidth="1"/>
    <col min="157" max="157" width="11.44140625" bestFit="1" customWidth="1"/>
    <col min="158" max="159" width="3" bestFit="1" customWidth="1"/>
    <col min="160" max="160" width="11.44140625" bestFit="1" customWidth="1"/>
    <col min="161" max="161" width="2" bestFit="1" customWidth="1"/>
    <col min="162" max="162" width="3" bestFit="1" customWidth="1"/>
    <col min="163" max="163" width="2" bestFit="1" customWidth="1"/>
    <col min="164" max="164" width="11.44140625" bestFit="1" customWidth="1"/>
    <col min="165" max="167" width="2" bestFit="1" customWidth="1"/>
    <col min="168" max="168" width="11.44140625" bestFit="1" customWidth="1"/>
    <col min="169" max="169" width="2" bestFit="1" customWidth="1"/>
    <col min="170" max="170" width="3" bestFit="1" customWidth="1"/>
    <col min="171" max="171" width="2" bestFit="1" customWidth="1"/>
    <col min="172" max="172" width="11.44140625" bestFit="1" customWidth="1"/>
    <col min="173" max="173" width="2" bestFit="1" customWidth="1"/>
    <col min="174" max="174" width="3" bestFit="1" customWidth="1"/>
    <col min="175" max="175" width="2" bestFit="1" customWidth="1"/>
    <col min="176" max="176" width="11.44140625" bestFit="1" customWidth="1"/>
    <col min="177" max="178" width="2" bestFit="1" customWidth="1"/>
    <col min="179" max="179" width="3" bestFit="1" customWidth="1"/>
    <col min="180" max="180" width="11.44140625" bestFit="1" customWidth="1"/>
    <col min="181" max="181" width="3" bestFit="1" customWidth="1"/>
    <col min="182" max="182" width="2" bestFit="1" customWidth="1"/>
    <col min="183" max="183" width="11.44140625" bestFit="1" customWidth="1"/>
    <col min="184" max="184" width="2" bestFit="1" customWidth="1"/>
    <col min="185" max="185" width="3" bestFit="1" customWidth="1"/>
    <col min="186" max="186" width="2" bestFit="1" customWidth="1"/>
    <col min="187" max="187" width="11.44140625" bestFit="1" customWidth="1"/>
    <col min="188" max="188" width="2" bestFit="1" customWidth="1"/>
    <col min="189" max="191" width="3" bestFit="1" customWidth="1"/>
    <col min="192" max="192" width="11.44140625" bestFit="1" customWidth="1"/>
    <col min="193" max="193" width="2" bestFit="1" customWidth="1"/>
    <col min="194" max="194" width="3" bestFit="1" customWidth="1"/>
    <col min="195" max="195" width="2" bestFit="1" customWidth="1"/>
    <col min="196" max="196" width="11.44140625" bestFit="1" customWidth="1"/>
    <col min="197" max="197" width="2" bestFit="1" customWidth="1"/>
    <col min="198" max="198" width="3" bestFit="1" customWidth="1"/>
    <col min="199" max="199" width="2" bestFit="1" customWidth="1"/>
    <col min="200" max="200" width="11.44140625" bestFit="1" customWidth="1"/>
    <col min="201" max="203" width="3" bestFit="1" customWidth="1"/>
    <col min="204" max="204" width="11.44140625" bestFit="1" customWidth="1"/>
    <col min="205" max="205" width="2" bestFit="1" customWidth="1"/>
    <col min="206" max="206" width="3" bestFit="1" customWidth="1"/>
    <col min="207" max="207" width="2" bestFit="1" customWidth="1"/>
    <col min="208" max="208" width="11.44140625" bestFit="1" customWidth="1"/>
    <col min="209" max="209" width="2" bestFit="1" customWidth="1"/>
    <col min="210" max="210" width="3" bestFit="1" customWidth="1"/>
    <col min="211" max="211" width="2" bestFit="1" customWidth="1"/>
    <col min="212" max="212" width="11.44140625" bestFit="1" customWidth="1"/>
    <col min="213" max="215" width="2" bestFit="1" customWidth="1"/>
    <col min="216" max="216" width="3" bestFit="1" customWidth="1"/>
    <col min="217" max="217" width="11.44140625" bestFit="1" customWidth="1"/>
    <col min="218" max="219" width="2" bestFit="1" customWidth="1"/>
    <col min="220" max="221" width="3" bestFit="1" customWidth="1"/>
    <col min="222" max="222" width="11.44140625" bestFit="1" customWidth="1"/>
    <col min="223" max="223" width="2" bestFit="1" customWidth="1"/>
    <col min="224" max="225" width="3" bestFit="1" customWidth="1"/>
    <col min="226" max="226" width="11.44140625" bestFit="1" customWidth="1"/>
    <col min="227" max="227" width="2" bestFit="1" customWidth="1"/>
    <col min="228" max="228" width="3" bestFit="1" customWidth="1"/>
    <col min="229" max="229" width="2" bestFit="1" customWidth="1"/>
    <col min="230" max="230" width="11.44140625" bestFit="1" customWidth="1"/>
    <col min="231" max="232" width="2" bestFit="1" customWidth="1"/>
    <col min="233" max="234" width="3" bestFit="1" customWidth="1"/>
    <col min="235" max="235" width="11.44140625" bestFit="1" customWidth="1"/>
    <col min="236" max="236" width="2" bestFit="1" customWidth="1"/>
    <col min="237" max="237" width="3" bestFit="1" customWidth="1"/>
    <col min="238" max="238" width="2" bestFit="1" customWidth="1"/>
    <col min="239" max="239" width="11.44140625" bestFit="1" customWidth="1"/>
    <col min="240" max="240" width="3" bestFit="1" customWidth="1"/>
    <col min="241" max="241" width="2" bestFit="1" customWidth="1"/>
    <col min="242" max="242" width="11.44140625" bestFit="1" customWidth="1"/>
    <col min="243" max="243" width="2" bestFit="1" customWidth="1"/>
    <col min="244" max="245" width="3" bestFit="1" customWidth="1"/>
    <col min="246" max="246" width="11.44140625" bestFit="1" customWidth="1"/>
    <col min="247" max="248" width="3" bestFit="1" customWidth="1"/>
    <col min="249" max="249" width="2" bestFit="1" customWidth="1"/>
    <col min="250" max="250" width="11.44140625" bestFit="1" customWidth="1"/>
    <col min="251" max="251" width="2" bestFit="1" customWidth="1"/>
    <col min="252" max="253" width="3" bestFit="1" customWidth="1"/>
    <col min="254" max="254" width="11.44140625" bestFit="1" customWidth="1"/>
    <col min="255" max="255" width="2" bestFit="1" customWidth="1"/>
    <col min="256" max="257" width="3" bestFit="1" customWidth="1"/>
    <col min="258" max="258" width="11.44140625" bestFit="1" customWidth="1"/>
    <col min="259" max="261" width="2" bestFit="1" customWidth="1"/>
    <col min="262" max="262" width="11.44140625" bestFit="1" customWidth="1"/>
    <col min="263" max="263" width="2" bestFit="1" customWidth="1"/>
    <col min="264" max="264" width="3" bestFit="1" customWidth="1"/>
    <col min="265" max="265" width="2" bestFit="1" customWidth="1"/>
    <col min="266" max="266" width="11.44140625" bestFit="1" customWidth="1"/>
    <col min="267" max="270" width="2" bestFit="1" customWidth="1"/>
    <col min="271" max="271" width="11.44140625" bestFit="1" customWidth="1"/>
    <col min="272" max="272" width="2" bestFit="1" customWidth="1"/>
    <col min="273" max="274" width="3" bestFit="1" customWidth="1"/>
    <col min="275" max="275" width="11.44140625" bestFit="1" customWidth="1"/>
    <col min="276" max="276" width="2" bestFit="1" customWidth="1"/>
    <col min="277" max="277" width="3" bestFit="1" customWidth="1"/>
    <col min="278" max="278" width="2" bestFit="1" customWidth="1"/>
    <col min="279" max="279" width="11.44140625" bestFit="1" customWidth="1"/>
    <col min="280" max="281" width="3" bestFit="1" customWidth="1"/>
    <col min="282" max="282" width="2" bestFit="1" customWidth="1"/>
    <col min="283" max="283" width="11.44140625" bestFit="1" customWidth="1"/>
    <col min="284" max="284" width="2" bestFit="1" customWidth="1"/>
    <col min="285" max="285" width="3" bestFit="1" customWidth="1"/>
    <col min="286" max="286" width="2" bestFit="1" customWidth="1"/>
    <col min="287" max="287" width="11.44140625" bestFit="1" customWidth="1"/>
    <col min="288" max="290" width="2" bestFit="1" customWidth="1"/>
    <col min="291" max="291" width="11.44140625" bestFit="1" customWidth="1"/>
    <col min="292" max="292" width="3" bestFit="1" customWidth="1"/>
    <col min="293" max="294" width="2" bestFit="1" customWidth="1"/>
    <col min="295" max="295" width="11.44140625" bestFit="1" customWidth="1"/>
    <col min="296" max="297" width="3" bestFit="1" customWidth="1"/>
    <col min="298" max="298" width="11.44140625" bestFit="1" customWidth="1"/>
    <col min="299" max="299" width="2" bestFit="1" customWidth="1"/>
    <col min="300" max="300" width="3" bestFit="1" customWidth="1"/>
    <col min="301" max="301" width="2" bestFit="1" customWidth="1"/>
    <col min="302" max="302" width="11.44140625" bestFit="1" customWidth="1"/>
    <col min="303" max="304" width="2" bestFit="1" customWidth="1"/>
    <col min="305" max="305" width="3" bestFit="1" customWidth="1"/>
    <col min="306" max="306" width="11.44140625" bestFit="1" customWidth="1"/>
    <col min="307" max="307" width="2" bestFit="1" customWidth="1"/>
    <col min="308" max="309" width="3" bestFit="1" customWidth="1"/>
    <col min="310" max="310" width="11.44140625" bestFit="1" customWidth="1"/>
    <col min="311" max="312" width="3" bestFit="1" customWidth="1"/>
    <col min="313" max="313" width="11.44140625" bestFit="1" customWidth="1"/>
    <col min="314" max="314" width="2" bestFit="1" customWidth="1"/>
    <col min="315" max="316" width="3" bestFit="1" customWidth="1"/>
    <col min="317" max="317" width="11.44140625" bestFit="1" customWidth="1"/>
    <col min="318" max="318" width="2" bestFit="1" customWidth="1"/>
    <col min="319" max="319" width="3" bestFit="1" customWidth="1"/>
    <col min="320" max="320" width="2" bestFit="1" customWidth="1"/>
    <col min="321" max="321" width="11.44140625" bestFit="1" customWidth="1"/>
    <col min="322" max="322" width="3" bestFit="1" customWidth="1"/>
    <col min="323" max="323" width="2" bestFit="1" customWidth="1"/>
    <col min="324" max="324" width="11.44140625" bestFit="1" customWidth="1"/>
    <col min="325" max="327" width="2" bestFit="1" customWidth="1"/>
    <col min="328" max="328" width="11.44140625" bestFit="1" customWidth="1"/>
    <col min="329" max="329" width="3" bestFit="1" customWidth="1"/>
    <col min="330" max="330" width="2" bestFit="1" customWidth="1"/>
    <col min="331" max="331" width="11.44140625" bestFit="1" customWidth="1"/>
    <col min="332" max="333" width="2" bestFit="1" customWidth="1"/>
    <col min="334" max="334" width="3" bestFit="1" customWidth="1"/>
    <col min="335" max="335" width="2" bestFit="1" customWidth="1"/>
    <col min="336" max="336" width="11.44140625" bestFit="1" customWidth="1"/>
    <col min="337" max="338" width="2" bestFit="1" customWidth="1"/>
    <col min="339" max="339" width="3" bestFit="1" customWidth="1"/>
    <col min="340" max="340" width="2" bestFit="1" customWidth="1"/>
    <col min="341" max="341" width="11.44140625" bestFit="1" customWidth="1"/>
    <col min="342" max="345" width="2" bestFit="1" customWidth="1"/>
    <col min="346" max="346" width="11.44140625" bestFit="1" customWidth="1"/>
    <col min="347" max="348" width="3" bestFit="1" customWidth="1"/>
  </cols>
  <sheetData>
    <row r="3" spans="1:10" x14ac:dyDescent="0.3">
      <c r="A3" t="s">
        <v>2519</v>
      </c>
      <c r="B3" t="s">
        <v>2520</v>
      </c>
      <c r="C3" t="s">
        <v>2521</v>
      </c>
      <c r="D3" t="s">
        <v>2522</v>
      </c>
      <c r="E3" t="s">
        <v>2523</v>
      </c>
    </row>
    <row r="4" spans="1:10" x14ac:dyDescent="0.3">
      <c r="A4" s="23">
        <v>2400</v>
      </c>
      <c r="B4" s="23">
        <v>11997</v>
      </c>
      <c r="C4" s="23">
        <v>649019.80000000144</v>
      </c>
      <c r="D4" s="23">
        <v>3.9620833333333332</v>
      </c>
      <c r="E4" s="23">
        <v>2.3424999999999998</v>
      </c>
    </row>
    <row r="6" spans="1:10" x14ac:dyDescent="0.3">
      <c r="A6" s="19" t="s">
        <v>2525</v>
      </c>
      <c r="B6" s="20"/>
      <c r="C6" s="20"/>
      <c r="D6" s="20"/>
      <c r="E6" s="20"/>
    </row>
    <row r="7" spans="1:10" x14ac:dyDescent="0.3">
      <c r="A7" s="5" t="s">
        <v>2518</v>
      </c>
      <c r="B7" s="6" t="s">
        <v>2</v>
      </c>
      <c r="C7" s="6" t="s">
        <v>4</v>
      </c>
      <c r="D7" s="6" t="s">
        <v>2507</v>
      </c>
      <c r="E7" s="7" t="s">
        <v>2524</v>
      </c>
    </row>
    <row r="8" spans="1:10" x14ac:dyDescent="0.3">
      <c r="A8" s="3" t="str">
        <f>TEXT(GETPIVOTDATA("Count of TX ID",$A$3),"#,##")</f>
        <v>2,400</v>
      </c>
      <c r="B8" s="4" t="str">
        <f>TEXT(GETPIVOTDATA("Sum of Quantity",$A$3),"#,##")</f>
        <v>11,997</v>
      </c>
      <c r="C8" s="8" t="str">
        <f>TEXT(C4,"$#,##,.0k")</f>
        <v>$649.0k</v>
      </c>
      <c r="D8" s="9">
        <f>D4</f>
        <v>3.9620833333333332</v>
      </c>
      <c r="E8" s="10">
        <f>E4</f>
        <v>2.3424999999999998</v>
      </c>
    </row>
    <row r="11" spans="1:10" x14ac:dyDescent="0.3">
      <c r="A11" s="11" t="s">
        <v>2526</v>
      </c>
      <c r="B11" t="s">
        <v>2505</v>
      </c>
      <c r="C11" t="s">
        <v>2506</v>
      </c>
      <c r="E11" s="11" t="s">
        <v>2519</v>
      </c>
      <c r="F11" s="11" t="s">
        <v>2532</v>
      </c>
    </row>
    <row r="12" spans="1:10" x14ac:dyDescent="0.3">
      <c r="A12" s="12">
        <v>1</v>
      </c>
      <c r="B12" s="23">
        <v>546</v>
      </c>
      <c r="C12" s="13">
        <v>32413.300000000003</v>
      </c>
      <c r="E12" s="11" t="s">
        <v>2526</v>
      </c>
      <c r="F12" t="s">
        <v>2530</v>
      </c>
      <c r="G12" t="s">
        <v>2529</v>
      </c>
      <c r="H12" t="s">
        <v>2531</v>
      </c>
      <c r="I12" t="s">
        <v>2528</v>
      </c>
      <c r="J12" t="s">
        <v>2527</v>
      </c>
    </row>
    <row r="13" spans="1:10" x14ac:dyDescent="0.3">
      <c r="A13" s="12">
        <v>2</v>
      </c>
      <c r="B13" s="23">
        <v>905</v>
      </c>
      <c r="C13" s="13">
        <v>49562.999999999993</v>
      </c>
      <c r="E13" s="12" t="s">
        <v>18</v>
      </c>
      <c r="F13" s="15">
        <v>0.19</v>
      </c>
      <c r="G13" s="15">
        <v>0.13958333333333334</v>
      </c>
      <c r="H13" s="15">
        <v>1.1666666666666667E-2</v>
      </c>
      <c r="I13" s="15">
        <v>2.0416666666666666E-2</v>
      </c>
      <c r="J13" s="15">
        <v>0.36166666666666669</v>
      </c>
    </row>
    <row r="14" spans="1:10" x14ac:dyDescent="0.3">
      <c r="A14" s="12">
        <v>3</v>
      </c>
      <c r="B14" s="23">
        <v>796</v>
      </c>
      <c r="C14" s="13">
        <v>41700.400000000016</v>
      </c>
      <c r="E14" s="12" t="s">
        <v>51</v>
      </c>
      <c r="F14" s="15">
        <v>4.9583333333333333E-2</v>
      </c>
      <c r="G14" s="15">
        <v>4.5416666666666668E-2</v>
      </c>
      <c r="H14" s="15">
        <v>1.6666666666666668E-3</v>
      </c>
      <c r="I14" s="15">
        <v>6.6666666666666671E-3</v>
      </c>
      <c r="J14" s="15">
        <v>0.10333333333333333</v>
      </c>
    </row>
    <row r="15" spans="1:10" x14ac:dyDescent="0.3">
      <c r="A15" s="12">
        <v>4</v>
      </c>
      <c r="B15" s="23">
        <v>913</v>
      </c>
      <c r="C15" s="13">
        <v>46782.599999999984</v>
      </c>
      <c r="E15" s="12" t="s">
        <v>70</v>
      </c>
      <c r="F15" s="15">
        <v>5.7916666666666665E-2</v>
      </c>
      <c r="G15" s="15">
        <v>4.2083333333333334E-2</v>
      </c>
      <c r="H15" s="15">
        <v>4.5833333333333334E-3</v>
      </c>
      <c r="I15" s="15">
        <v>4.5833333333333334E-3</v>
      </c>
      <c r="J15" s="15">
        <v>0.10916666666666666</v>
      </c>
    </row>
    <row r="16" spans="1:10" x14ac:dyDescent="0.3">
      <c r="A16" s="12">
        <v>5</v>
      </c>
      <c r="B16" s="23">
        <v>844</v>
      </c>
      <c r="C16" s="13">
        <v>42676.100000000006</v>
      </c>
      <c r="E16" s="12" t="s">
        <v>40</v>
      </c>
      <c r="F16" s="15">
        <v>9.4166666666666662E-2</v>
      </c>
      <c r="G16" s="15">
        <v>7.6249999999999998E-2</v>
      </c>
      <c r="H16" s="15">
        <v>6.6666666666666671E-3</v>
      </c>
      <c r="I16" s="15">
        <v>1.1666666666666667E-2</v>
      </c>
      <c r="J16" s="15">
        <v>0.18875</v>
      </c>
    </row>
    <row r="17" spans="1:10" x14ac:dyDescent="0.3">
      <c r="A17" s="12">
        <v>6</v>
      </c>
      <c r="B17" s="23">
        <v>1202</v>
      </c>
      <c r="C17" s="13">
        <v>62910.7</v>
      </c>
      <c r="E17" s="12" t="s">
        <v>35</v>
      </c>
      <c r="F17" s="15">
        <v>0.12125</v>
      </c>
      <c r="G17" s="15">
        <v>9.6250000000000002E-2</v>
      </c>
      <c r="H17" s="15">
        <v>6.6666666666666671E-3</v>
      </c>
      <c r="I17" s="15">
        <v>1.2916666666666667E-2</v>
      </c>
      <c r="J17" s="15">
        <v>0.23708333333333334</v>
      </c>
    </row>
    <row r="18" spans="1:10" x14ac:dyDescent="0.3">
      <c r="A18" s="12">
        <v>7</v>
      </c>
      <c r="B18" s="23">
        <v>935</v>
      </c>
      <c r="C18" s="13">
        <v>50332.200000000004</v>
      </c>
      <c r="E18" s="12" t="s">
        <v>2527</v>
      </c>
      <c r="F18" s="15">
        <v>0.51291666666666669</v>
      </c>
      <c r="G18" s="15">
        <v>0.39958333333333335</v>
      </c>
      <c r="H18" s="15">
        <v>3.125E-2</v>
      </c>
      <c r="I18" s="15">
        <v>5.6250000000000001E-2</v>
      </c>
      <c r="J18" s="15">
        <v>1</v>
      </c>
    </row>
    <row r="19" spans="1:10" x14ac:dyDescent="0.3">
      <c r="A19" s="12">
        <v>8</v>
      </c>
      <c r="B19" s="23">
        <v>1128</v>
      </c>
      <c r="C19" s="13">
        <v>58760.599999999977</v>
      </c>
    </row>
    <row r="20" spans="1:10" x14ac:dyDescent="0.3">
      <c r="A20" s="12">
        <v>9</v>
      </c>
      <c r="B20" s="23">
        <v>1007</v>
      </c>
      <c r="C20" s="13">
        <v>52017.299999999996</v>
      </c>
      <c r="F20" s="17" t="s">
        <v>2530</v>
      </c>
      <c r="G20" s="17" t="s">
        <v>2529</v>
      </c>
      <c r="H20" s="17" t="s">
        <v>2531</v>
      </c>
      <c r="I20" s="17" t="s">
        <v>2528</v>
      </c>
    </row>
    <row r="21" spans="1:10" x14ac:dyDescent="0.3">
      <c r="A21" s="12">
        <v>10</v>
      </c>
      <c r="B21" s="23">
        <v>1128</v>
      </c>
      <c r="C21" s="13">
        <v>64915.700000000033</v>
      </c>
      <c r="E21" s="16" t="s">
        <v>18</v>
      </c>
      <c r="F21" s="15">
        <v>0.19</v>
      </c>
      <c r="G21" s="15">
        <v>0.13958333333333334</v>
      </c>
      <c r="H21" s="15">
        <v>1.1666666666666667E-2</v>
      </c>
      <c r="I21" s="15">
        <v>2.0416666666666666E-2</v>
      </c>
    </row>
    <row r="22" spans="1:10" x14ac:dyDescent="0.3">
      <c r="A22" s="12">
        <v>11</v>
      </c>
      <c r="B22" s="23">
        <v>861</v>
      </c>
      <c r="C22" s="13">
        <v>45943.80000000001</v>
      </c>
      <c r="E22" s="16" t="s">
        <v>51</v>
      </c>
      <c r="F22" s="15">
        <v>4.9583333333333333E-2</v>
      </c>
      <c r="G22" s="15">
        <v>4.5416666666666668E-2</v>
      </c>
      <c r="H22" s="15">
        <v>1.6666666666666668E-3</v>
      </c>
      <c r="I22" s="15">
        <v>6.6666666666666671E-3</v>
      </c>
    </row>
    <row r="23" spans="1:10" x14ac:dyDescent="0.3">
      <c r="A23" s="12">
        <v>12</v>
      </c>
      <c r="B23" s="23">
        <v>944</v>
      </c>
      <c r="C23" s="13">
        <v>55077.900000000031</v>
      </c>
      <c r="E23" s="16" t="s">
        <v>70</v>
      </c>
      <c r="F23" s="15">
        <v>5.7916666666666665E-2</v>
      </c>
      <c r="G23" s="15">
        <v>4.2083333333333334E-2</v>
      </c>
      <c r="H23" s="15">
        <v>4.5833333333333334E-3</v>
      </c>
      <c r="I23" s="15">
        <v>4.5833333333333334E-3</v>
      </c>
      <c r="J23" s="15"/>
    </row>
    <row r="24" spans="1:10" x14ac:dyDescent="0.3">
      <c r="A24" s="12">
        <v>13</v>
      </c>
      <c r="B24" s="23">
        <v>788</v>
      </c>
      <c r="C24" s="13">
        <v>45926.19999999999</v>
      </c>
      <c r="E24" s="16" t="s">
        <v>40</v>
      </c>
      <c r="F24" s="15">
        <v>9.4166666666666662E-2</v>
      </c>
      <c r="G24" s="15">
        <v>7.6249999999999998E-2</v>
      </c>
      <c r="H24" s="15">
        <v>6.6666666666666671E-3</v>
      </c>
      <c r="I24" s="15">
        <v>1.1666666666666667E-2</v>
      </c>
      <c r="J24" s="15"/>
    </row>
    <row r="25" spans="1:10" x14ac:dyDescent="0.3">
      <c r="A25" s="12" t="s">
        <v>2527</v>
      </c>
      <c r="B25" s="23">
        <v>11997</v>
      </c>
      <c r="C25" s="13">
        <v>649019.79999999993</v>
      </c>
      <c r="E25" s="16" t="s">
        <v>35</v>
      </c>
      <c r="F25" s="15">
        <v>0.12125</v>
      </c>
      <c r="G25" s="15">
        <v>9.6250000000000002E-2</v>
      </c>
      <c r="H25" s="15">
        <v>6.6666666666666671E-3</v>
      </c>
      <c r="I25" s="15">
        <v>1.2916666666666667E-2</v>
      </c>
      <c r="J25" s="15"/>
    </row>
    <row r="26" spans="1:10" x14ac:dyDescent="0.3">
      <c r="J26" s="15"/>
    </row>
    <row r="27" spans="1:10" x14ac:dyDescent="0.3">
      <c r="J27" s="15"/>
    </row>
    <row r="31" spans="1:10" x14ac:dyDescent="0.3">
      <c r="A31" s="11" t="s">
        <v>2526</v>
      </c>
      <c r="B31" t="s">
        <v>2544</v>
      </c>
    </row>
    <row r="32" spans="1:10" x14ac:dyDescent="0.3">
      <c r="A32" s="12">
        <v>1</v>
      </c>
      <c r="B32" s="23">
        <v>397</v>
      </c>
    </row>
    <row r="33" spans="1:12" x14ac:dyDescent="0.3">
      <c r="A33" s="12">
        <v>2</v>
      </c>
      <c r="B33" s="23">
        <v>540</v>
      </c>
    </row>
    <row r="34" spans="1:12" x14ac:dyDescent="0.3">
      <c r="A34" s="12">
        <v>3</v>
      </c>
      <c r="B34" s="23">
        <v>375</v>
      </c>
    </row>
    <row r="35" spans="1:12" x14ac:dyDescent="0.3">
      <c r="A35" s="12">
        <v>4</v>
      </c>
      <c r="B35" s="23">
        <v>246</v>
      </c>
    </row>
    <row r="36" spans="1:12" x14ac:dyDescent="0.3">
      <c r="A36" s="12">
        <v>5</v>
      </c>
      <c r="B36" s="23">
        <v>195</v>
      </c>
    </row>
    <row r="37" spans="1:12" x14ac:dyDescent="0.3">
      <c r="A37" s="12" t="s">
        <v>2534</v>
      </c>
      <c r="B37" s="23">
        <v>414</v>
      </c>
    </row>
    <row r="38" spans="1:12" x14ac:dyDescent="0.3">
      <c r="A38" s="12" t="s">
        <v>2533</v>
      </c>
      <c r="B38" s="23">
        <v>233</v>
      </c>
    </row>
    <row r="39" spans="1:12" x14ac:dyDescent="0.3">
      <c r="A39" s="12" t="s">
        <v>2527</v>
      </c>
      <c r="B39" s="23">
        <v>2400</v>
      </c>
    </row>
    <row r="43" spans="1:12" x14ac:dyDescent="0.3">
      <c r="A43" s="11" t="s">
        <v>2526</v>
      </c>
      <c r="B43" t="s">
        <v>2505</v>
      </c>
    </row>
    <row r="44" spans="1:12" x14ac:dyDescent="0.3">
      <c r="A44" s="12" t="s">
        <v>44</v>
      </c>
      <c r="B44" s="23">
        <v>1645</v>
      </c>
    </row>
    <row r="45" spans="1:12" x14ac:dyDescent="0.3">
      <c r="A45" s="12" t="s">
        <v>39</v>
      </c>
      <c r="B45" s="23">
        <v>1546</v>
      </c>
    </row>
    <row r="46" spans="1:12" x14ac:dyDescent="0.3">
      <c r="A46" s="12" t="s">
        <v>26</v>
      </c>
      <c r="B46" s="23">
        <v>1186</v>
      </c>
      <c r="K46" s="11" t="s">
        <v>2526</v>
      </c>
      <c r="L46" t="s">
        <v>2535</v>
      </c>
    </row>
    <row r="47" spans="1:12" x14ac:dyDescent="0.3">
      <c r="A47" s="12" t="s">
        <v>22</v>
      </c>
      <c r="B47" s="23">
        <v>912</v>
      </c>
      <c r="K47" s="12" t="s">
        <v>2530</v>
      </c>
      <c r="L47" s="23">
        <v>1231</v>
      </c>
    </row>
    <row r="48" spans="1:12" x14ac:dyDescent="0.3">
      <c r="A48" s="12" t="s">
        <v>54</v>
      </c>
      <c r="B48" s="23">
        <v>807</v>
      </c>
      <c r="K48" s="12" t="s">
        <v>2529</v>
      </c>
      <c r="L48" s="23">
        <v>959</v>
      </c>
    </row>
    <row r="49" spans="1:12" x14ac:dyDescent="0.3">
      <c r="A49" s="12" t="s">
        <v>16</v>
      </c>
      <c r="B49" s="23">
        <v>745</v>
      </c>
      <c r="K49" s="12" t="s">
        <v>2531</v>
      </c>
      <c r="L49" s="23">
        <v>75</v>
      </c>
    </row>
    <row r="50" spans="1:12" x14ac:dyDescent="0.3">
      <c r="A50" s="12" t="s">
        <v>46</v>
      </c>
      <c r="B50" s="23">
        <v>700</v>
      </c>
      <c r="K50" s="12" t="s">
        <v>2528</v>
      </c>
      <c r="L50" s="23">
        <v>135</v>
      </c>
    </row>
    <row r="51" spans="1:12" x14ac:dyDescent="0.3">
      <c r="A51" s="12" t="s">
        <v>32</v>
      </c>
      <c r="B51" s="23">
        <v>647</v>
      </c>
      <c r="K51" s="12" t="s">
        <v>2527</v>
      </c>
      <c r="L51" s="23">
        <v>2400</v>
      </c>
    </row>
    <row r="52" spans="1:12" x14ac:dyDescent="0.3">
      <c r="A52" s="12" t="s">
        <v>42</v>
      </c>
      <c r="B52" s="23">
        <v>606</v>
      </c>
    </row>
    <row r="53" spans="1:12" x14ac:dyDescent="0.3">
      <c r="A53" s="12" t="s">
        <v>37</v>
      </c>
      <c r="B53" s="23">
        <v>603</v>
      </c>
    </row>
    <row r="54" spans="1:12" x14ac:dyDescent="0.3">
      <c r="A54" s="12" t="s">
        <v>123</v>
      </c>
      <c r="B54" s="23">
        <v>437</v>
      </c>
    </row>
    <row r="55" spans="1:12" x14ac:dyDescent="0.3">
      <c r="A55" s="12" t="s">
        <v>146</v>
      </c>
      <c r="B55" s="23">
        <v>398</v>
      </c>
    </row>
    <row r="56" spans="1:12" x14ac:dyDescent="0.3">
      <c r="A56" s="12" t="s">
        <v>69</v>
      </c>
      <c r="B56" s="23">
        <v>370</v>
      </c>
    </row>
    <row r="57" spans="1:12" x14ac:dyDescent="0.3">
      <c r="A57" s="12" t="s">
        <v>30</v>
      </c>
      <c r="B57" s="23">
        <v>272</v>
      </c>
      <c r="G57" s="11" t="s">
        <v>2526</v>
      </c>
      <c r="H57" t="s">
        <v>2535</v>
      </c>
    </row>
    <row r="58" spans="1:12" x14ac:dyDescent="0.3">
      <c r="A58" s="12" t="s">
        <v>135</v>
      </c>
      <c r="B58" s="23">
        <v>270</v>
      </c>
      <c r="G58" s="12" t="s">
        <v>2530</v>
      </c>
      <c r="H58" s="23">
        <v>1231</v>
      </c>
    </row>
    <row r="59" spans="1:12" x14ac:dyDescent="0.3">
      <c r="A59" s="12" t="s">
        <v>67</v>
      </c>
      <c r="B59" s="23">
        <v>258</v>
      </c>
      <c r="G59" s="12" t="s">
        <v>2529</v>
      </c>
      <c r="H59" s="23">
        <v>959</v>
      </c>
    </row>
    <row r="60" spans="1:12" x14ac:dyDescent="0.3">
      <c r="A60" s="12" t="s">
        <v>128</v>
      </c>
      <c r="B60" s="23">
        <v>195</v>
      </c>
      <c r="G60" s="12" t="s">
        <v>2531</v>
      </c>
      <c r="H60" s="23">
        <v>75</v>
      </c>
    </row>
    <row r="61" spans="1:12" x14ac:dyDescent="0.3">
      <c r="A61" s="12" t="s">
        <v>76</v>
      </c>
      <c r="B61" s="23">
        <v>188</v>
      </c>
      <c r="G61" s="12" t="s">
        <v>2528</v>
      </c>
      <c r="H61" s="23">
        <v>135</v>
      </c>
    </row>
    <row r="62" spans="1:12" x14ac:dyDescent="0.3">
      <c r="A62" s="12" t="s">
        <v>81</v>
      </c>
      <c r="B62" s="23">
        <v>147</v>
      </c>
      <c r="G62" s="12" t="s">
        <v>2527</v>
      </c>
      <c r="H62" s="23">
        <v>2400</v>
      </c>
    </row>
    <row r="63" spans="1:12" x14ac:dyDescent="0.3">
      <c r="A63" s="12" t="s">
        <v>171</v>
      </c>
      <c r="B63" s="23">
        <v>65</v>
      </c>
    </row>
    <row r="64" spans="1:12" x14ac:dyDescent="0.3">
      <c r="A64" s="12" t="s">
        <v>2527</v>
      </c>
      <c r="B64" s="23">
        <v>11997</v>
      </c>
    </row>
    <row r="67" spans="1:12" x14ac:dyDescent="0.3">
      <c r="F67" t="s">
        <v>2538</v>
      </c>
      <c r="G67" t="s">
        <v>2539</v>
      </c>
      <c r="H67" t="s">
        <v>2536</v>
      </c>
      <c r="J67" t="s">
        <v>2538</v>
      </c>
      <c r="K67" t="s">
        <v>2539</v>
      </c>
      <c r="L67" t="s">
        <v>2537</v>
      </c>
    </row>
    <row r="68" spans="1:12" x14ac:dyDescent="0.3">
      <c r="A68" s="11" t="s">
        <v>10</v>
      </c>
      <c r="B68" s="11" t="s">
        <v>11</v>
      </c>
      <c r="C68" t="s">
        <v>2520</v>
      </c>
      <c r="D68" t="s">
        <v>2521</v>
      </c>
      <c r="F68" s="14" t="s">
        <v>19</v>
      </c>
      <c r="G68" t="s">
        <v>115</v>
      </c>
      <c r="H68">
        <v>579</v>
      </c>
      <c r="J68" s="14" t="s">
        <v>19</v>
      </c>
      <c r="K68" t="s">
        <v>115</v>
      </c>
      <c r="L68">
        <v>31884.999999999996</v>
      </c>
    </row>
    <row r="69" spans="1:12" x14ac:dyDescent="0.3">
      <c r="A69" t="s">
        <v>19</v>
      </c>
      <c r="B69" t="s">
        <v>115</v>
      </c>
      <c r="C69" s="23">
        <v>579</v>
      </c>
      <c r="D69" s="23">
        <v>31884.999999999996</v>
      </c>
      <c r="F69" s="14" t="s">
        <v>19</v>
      </c>
      <c r="G69" t="s">
        <v>20</v>
      </c>
      <c r="H69">
        <v>1</v>
      </c>
      <c r="J69" s="14" t="s">
        <v>19</v>
      </c>
      <c r="K69" t="s">
        <v>20</v>
      </c>
      <c r="L69">
        <v>10.9</v>
      </c>
    </row>
    <row r="70" spans="1:12" x14ac:dyDescent="0.3">
      <c r="A70" t="s">
        <v>19</v>
      </c>
      <c r="B70" t="s">
        <v>20</v>
      </c>
      <c r="C70" s="23">
        <v>1</v>
      </c>
      <c r="D70" s="23">
        <v>10.9</v>
      </c>
      <c r="F70" s="14" t="s">
        <v>19</v>
      </c>
      <c r="G70" t="s">
        <v>641</v>
      </c>
      <c r="H70">
        <v>9</v>
      </c>
      <c r="J70" s="14" t="s">
        <v>19</v>
      </c>
      <c r="K70" t="s">
        <v>641</v>
      </c>
      <c r="L70">
        <v>800.3</v>
      </c>
    </row>
    <row r="71" spans="1:12" x14ac:dyDescent="0.3">
      <c r="A71" t="s">
        <v>19</v>
      </c>
      <c r="B71" t="s">
        <v>641</v>
      </c>
      <c r="C71" s="23">
        <v>9</v>
      </c>
      <c r="D71" s="23">
        <v>800.3</v>
      </c>
      <c r="F71" s="14" t="s">
        <v>19</v>
      </c>
      <c r="G71" t="s">
        <v>967</v>
      </c>
      <c r="H71">
        <v>35</v>
      </c>
      <c r="J71" s="14" t="s">
        <v>19</v>
      </c>
      <c r="K71" t="s">
        <v>967</v>
      </c>
      <c r="L71">
        <v>1062.5999999999999</v>
      </c>
    </row>
    <row r="72" spans="1:12" x14ac:dyDescent="0.3">
      <c r="A72" t="s">
        <v>19</v>
      </c>
      <c r="B72" t="s">
        <v>967</v>
      </c>
      <c r="C72" s="23">
        <v>35</v>
      </c>
      <c r="D72" s="23">
        <v>1062.5999999999999</v>
      </c>
      <c r="F72" s="14" t="s">
        <v>19</v>
      </c>
      <c r="G72" t="s">
        <v>84</v>
      </c>
      <c r="H72">
        <v>12</v>
      </c>
      <c r="J72" s="14" t="s">
        <v>19</v>
      </c>
      <c r="K72" t="s">
        <v>84</v>
      </c>
      <c r="L72">
        <v>326.20000000000005</v>
      </c>
    </row>
    <row r="73" spans="1:12" x14ac:dyDescent="0.3">
      <c r="A73" t="s">
        <v>19</v>
      </c>
      <c r="B73" t="s">
        <v>84</v>
      </c>
      <c r="C73" s="23">
        <v>12</v>
      </c>
      <c r="D73" s="23">
        <v>326.20000000000005</v>
      </c>
      <c r="F73" s="14" t="s">
        <v>19</v>
      </c>
      <c r="G73" t="s">
        <v>1383</v>
      </c>
      <c r="H73">
        <v>4</v>
      </c>
      <c r="J73" s="14" t="s">
        <v>19</v>
      </c>
      <c r="K73" t="s">
        <v>1383</v>
      </c>
      <c r="L73">
        <v>167.5</v>
      </c>
    </row>
    <row r="74" spans="1:12" x14ac:dyDescent="0.3">
      <c r="A74" t="s">
        <v>19</v>
      </c>
      <c r="B74" t="s">
        <v>1383</v>
      </c>
      <c r="C74" s="23">
        <v>4</v>
      </c>
      <c r="D74" s="23">
        <v>167.5</v>
      </c>
      <c r="F74" s="14" t="s">
        <v>19</v>
      </c>
      <c r="G74" t="s">
        <v>24</v>
      </c>
      <c r="H74">
        <v>341</v>
      </c>
      <c r="J74" s="14" t="s">
        <v>19</v>
      </c>
      <c r="K74" t="s">
        <v>24</v>
      </c>
      <c r="L74">
        <v>16168.7</v>
      </c>
    </row>
    <row r="75" spans="1:12" x14ac:dyDescent="0.3">
      <c r="A75" t="s">
        <v>19</v>
      </c>
      <c r="B75" t="s">
        <v>24</v>
      </c>
      <c r="C75" s="23">
        <v>341</v>
      </c>
      <c r="D75" s="23">
        <v>16168.7</v>
      </c>
      <c r="F75" s="14" t="s">
        <v>19</v>
      </c>
      <c r="G75" t="s">
        <v>2204</v>
      </c>
      <c r="H75">
        <v>13</v>
      </c>
      <c r="J75" s="14" t="s">
        <v>19</v>
      </c>
      <c r="K75" t="s">
        <v>2204</v>
      </c>
      <c r="L75">
        <v>322.40000000000003</v>
      </c>
    </row>
    <row r="76" spans="1:12" x14ac:dyDescent="0.3">
      <c r="A76" t="s">
        <v>19</v>
      </c>
      <c r="B76" t="s">
        <v>2204</v>
      </c>
      <c r="C76" s="23">
        <v>13</v>
      </c>
      <c r="D76" s="23">
        <v>322.40000000000003</v>
      </c>
      <c r="F76" s="14" t="s">
        <v>19</v>
      </c>
      <c r="G76" t="s">
        <v>437</v>
      </c>
      <c r="H76">
        <v>31</v>
      </c>
      <c r="J76" s="14" t="s">
        <v>19</v>
      </c>
      <c r="K76" t="s">
        <v>437</v>
      </c>
      <c r="L76">
        <v>2092.8000000000002</v>
      </c>
    </row>
    <row r="77" spans="1:12" x14ac:dyDescent="0.3">
      <c r="A77" t="s">
        <v>19</v>
      </c>
      <c r="B77" t="s">
        <v>437</v>
      </c>
      <c r="C77" s="23">
        <v>31</v>
      </c>
      <c r="D77" s="23">
        <v>2092.8000000000002</v>
      </c>
      <c r="F77" s="14" t="s">
        <v>19</v>
      </c>
      <c r="G77" t="s">
        <v>28</v>
      </c>
      <c r="H77">
        <v>279</v>
      </c>
      <c r="J77" s="14" t="s">
        <v>19</v>
      </c>
      <c r="K77" t="s">
        <v>28</v>
      </c>
      <c r="L77">
        <v>12662.500000000002</v>
      </c>
    </row>
    <row r="78" spans="1:12" x14ac:dyDescent="0.3">
      <c r="A78" t="s">
        <v>19</v>
      </c>
      <c r="B78" t="s">
        <v>28</v>
      </c>
      <c r="C78" s="23">
        <v>279</v>
      </c>
      <c r="D78" s="23">
        <v>12662.500000000002</v>
      </c>
      <c r="F78" s="14" t="s">
        <v>19</v>
      </c>
      <c r="G78" t="s">
        <v>208</v>
      </c>
      <c r="H78">
        <v>9</v>
      </c>
      <c r="J78" s="14" t="s">
        <v>19</v>
      </c>
      <c r="K78" t="s">
        <v>208</v>
      </c>
      <c r="L78">
        <v>343.2</v>
      </c>
    </row>
    <row r="79" spans="1:12" x14ac:dyDescent="0.3">
      <c r="A79" t="s">
        <v>19</v>
      </c>
      <c r="B79" t="s">
        <v>208</v>
      </c>
      <c r="C79" s="23">
        <v>9</v>
      </c>
      <c r="D79" s="23">
        <v>343.2</v>
      </c>
      <c r="F79" s="14" t="s">
        <v>19</v>
      </c>
      <c r="G79" t="s">
        <v>587</v>
      </c>
      <c r="H79">
        <v>49</v>
      </c>
      <c r="J79" s="14" t="s">
        <v>19</v>
      </c>
      <c r="K79" t="s">
        <v>587</v>
      </c>
      <c r="L79">
        <v>2188.2999999999997</v>
      </c>
    </row>
    <row r="80" spans="1:12" x14ac:dyDescent="0.3">
      <c r="A80" t="s">
        <v>19</v>
      </c>
      <c r="B80" t="s">
        <v>587</v>
      </c>
      <c r="C80" s="23">
        <v>49</v>
      </c>
      <c r="D80" s="23">
        <v>2188.2999999999997</v>
      </c>
      <c r="F80" s="14" t="s">
        <v>19</v>
      </c>
      <c r="G80" t="s">
        <v>331</v>
      </c>
      <c r="H80">
        <v>59</v>
      </c>
      <c r="J80" s="14" t="s">
        <v>19</v>
      </c>
      <c r="K80" t="s">
        <v>331</v>
      </c>
      <c r="L80">
        <v>2661.5999999999995</v>
      </c>
    </row>
    <row r="81" spans="1:12" x14ac:dyDescent="0.3">
      <c r="A81" t="s">
        <v>19</v>
      </c>
      <c r="B81" t="s">
        <v>331</v>
      </c>
      <c r="C81" s="23">
        <v>59</v>
      </c>
      <c r="D81" s="23">
        <v>2661.5999999999995</v>
      </c>
      <c r="F81" s="14" t="s">
        <v>19</v>
      </c>
      <c r="G81" t="s">
        <v>86</v>
      </c>
      <c r="H81">
        <v>8</v>
      </c>
      <c r="J81" s="14" t="s">
        <v>19</v>
      </c>
      <c r="K81" t="s">
        <v>86</v>
      </c>
      <c r="L81">
        <v>887.5</v>
      </c>
    </row>
    <row r="82" spans="1:12" x14ac:dyDescent="0.3">
      <c r="A82" t="s">
        <v>19</v>
      </c>
      <c r="B82" t="s">
        <v>86</v>
      </c>
      <c r="C82" s="23">
        <v>8</v>
      </c>
      <c r="D82" s="23">
        <v>887.5</v>
      </c>
      <c r="F82" s="14" t="s">
        <v>19</v>
      </c>
      <c r="G82" t="s">
        <v>147</v>
      </c>
      <c r="H82">
        <v>222</v>
      </c>
      <c r="J82" s="14" t="s">
        <v>19</v>
      </c>
      <c r="K82" t="s">
        <v>147</v>
      </c>
      <c r="L82">
        <v>11354.199999999993</v>
      </c>
    </row>
    <row r="83" spans="1:12" x14ac:dyDescent="0.3">
      <c r="A83" t="s">
        <v>19</v>
      </c>
      <c r="B83" t="s">
        <v>147</v>
      </c>
      <c r="C83" s="23">
        <v>222</v>
      </c>
      <c r="D83" s="23">
        <v>11354.199999999993</v>
      </c>
      <c r="F83" s="14" t="s">
        <v>19</v>
      </c>
      <c r="G83" t="s">
        <v>334</v>
      </c>
      <c r="H83">
        <v>36</v>
      </c>
      <c r="J83" s="14" t="s">
        <v>19</v>
      </c>
      <c r="K83" t="s">
        <v>334</v>
      </c>
      <c r="L83">
        <v>1558.4</v>
      </c>
    </row>
    <row r="84" spans="1:12" x14ac:dyDescent="0.3">
      <c r="A84" t="s">
        <v>19</v>
      </c>
      <c r="B84" t="s">
        <v>334</v>
      </c>
      <c r="C84" s="23">
        <v>36</v>
      </c>
      <c r="D84" s="23">
        <v>1558.4</v>
      </c>
      <c r="F84" s="14" t="s">
        <v>19</v>
      </c>
      <c r="G84" t="s">
        <v>949</v>
      </c>
      <c r="H84">
        <v>30</v>
      </c>
      <c r="J84" s="14" t="s">
        <v>19</v>
      </c>
      <c r="K84" t="s">
        <v>949</v>
      </c>
      <c r="L84">
        <v>2223.9</v>
      </c>
    </row>
    <row r="85" spans="1:12" x14ac:dyDescent="0.3">
      <c r="A85" t="s">
        <v>19</v>
      </c>
      <c r="B85" t="s">
        <v>949</v>
      </c>
      <c r="C85" s="23">
        <v>30</v>
      </c>
      <c r="D85" s="23">
        <v>2223.9</v>
      </c>
      <c r="F85" s="14" t="s">
        <v>19</v>
      </c>
      <c r="G85" t="s">
        <v>1426</v>
      </c>
      <c r="H85">
        <v>1</v>
      </c>
      <c r="J85" s="14" t="s">
        <v>19</v>
      </c>
      <c r="K85" t="s">
        <v>1426</v>
      </c>
      <c r="L85">
        <v>26.2</v>
      </c>
    </row>
    <row r="86" spans="1:12" x14ac:dyDescent="0.3">
      <c r="A86" t="s">
        <v>19</v>
      </c>
      <c r="B86" t="s">
        <v>1426</v>
      </c>
      <c r="C86" s="23">
        <v>1</v>
      </c>
      <c r="D86" s="23">
        <v>26.2</v>
      </c>
      <c r="F86" s="14" t="s">
        <v>19</v>
      </c>
      <c r="G86" t="s">
        <v>33</v>
      </c>
      <c r="H86">
        <v>3991</v>
      </c>
      <c r="J86" s="14" t="s">
        <v>19</v>
      </c>
      <c r="K86" t="s">
        <v>33</v>
      </c>
      <c r="L86">
        <v>215551.19999999981</v>
      </c>
    </row>
    <row r="87" spans="1:12" x14ac:dyDescent="0.3">
      <c r="A87" t="s">
        <v>19</v>
      </c>
      <c r="B87" t="s">
        <v>33</v>
      </c>
      <c r="C87" s="23">
        <v>3991</v>
      </c>
      <c r="D87" s="23">
        <v>215551.19999999981</v>
      </c>
      <c r="F87" s="14" t="s">
        <v>19</v>
      </c>
      <c r="G87" t="s">
        <v>364</v>
      </c>
      <c r="H87">
        <v>45</v>
      </c>
      <c r="J87" s="14" t="s">
        <v>19</v>
      </c>
      <c r="K87" t="s">
        <v>364</v>
      </c>
      <c r="L87">
        <v>2687.3999999999996</v>
      </c>
    </row>
    <row r="88" spans="1:12" x14ac:dyDescent="0.3">
      <c r="A88" t="s">
        <v>19</v>
      </c>
      <c r="B88" t="s">
        <v>364</v>
      </c>
      <c r="C88" s="23">
        <v>45</v>
      </c>
      <c r="D88" s="23">
        <v>2687.3999999999996</v>
      </c>
      <c r="F88" s="14" t="s">
        <v>19</v>
      </c>
      <c r="G88" t="s">
        <v>545</v>
      </c>
      <c r="H88">
        <v>39</v>
      </c>
      <c r="J88" s="14" t="s">
        <v>19</v>
      </c>
      <c r="K88" t="s">
        <v>545</v>
      </c>
      <c r="L88">
        <v>1463.3000000000002</v>
      </c>
    </row>
    <row r="89" spans="1:12" x14ac:dyDescent="0.3">
      <c r="A89" t="s">
        <v>19</v>
      </c>
      <c r="B89" t="s">
        <v>545</v>
      </c>
      <c r="C89" s="23">
        <v>39</v>
      </c>
      <c r="D89" s="23">
        <v>1463.3000000000002</v>
      </c>
      <c r="F89" s="14" t="s">
        <v>19</v>
      </c>
      <c r="G89" t="s">
        <v>416</v>
      </c>
      <c r="H89">
        <v>6</v>
      </c>
      <c r="J89" s="14" t="s">
        <v>19</v>
      </c>
      <c r="K89" t="s">
        <v>416</v>
      </c>
      <c r="L89">
        <v>445.79999999999995</v>
      </c>
    </row>
    <row r="90" spans="1:12" x14ac:dyDescent="0.3">
      <c r="A90" t="s">
        <v>19</v>
      </c>
      <c r="B90" t="s">
        <v>416</v>
      </c>
      <c r="C90" s="23">
        <v>6</v>
      </c>
      <c r="D90" s="23">
        <v>445.79999999999995</v>
      </c>
      <c r="F90" s="14" t="s">
        <v>19</v>
      </c>
      <c r="G90" t="s">
        <v>258</v>
      </c>
      <c r="H90">
        <v>9</v>
      </c>
      <c r="J90" s="14" t="s">
        <v>19</v>
      </c>
      <c r="K90" t="s">
        <v>258</v>
      </c>
      <c r="L90">
        <v>273.59999999999997</v>
      </c>
    </row>
    <row r="91" spans="1:12" x14ac:dyDescent="0.3">
      <c r="A91" t="s">
        <v>19</v>
      </c>
      <c r="B91" t="s">
        <v>258</v>
      </c>
      <c r="C91" s="23">
        <v>9</v>
      </c>
      <c r="D91" s="23">
        <v>273.59999999999997</v>
      </c>
      <c r="F91" s="14" t="s">
        <v>19</v>
      </c>
      <c r="G91" t="s">
        <v>186</v>
      </c>
      <c r="H91">
        <v>60</v>
      </c>
      <c r="J91" s="14" t="s">
        <v>19</v>
      </c>
      <c r="K91" t="s">
        <v>186</v>
      </c>
      <c r="L91">
        <v>2690.4</v>
      </c>
    </row>
    <row r="92" spans="1:12" x14ac:dyDescent="0.3">
      <c r="A92" t="s">
        <v>19</v>
      </c>
      <c r="B92" t="s">
        <v>186</v>
      </c>
      <c r="C92" s="23">
        <v>60</v>
      </c>
      <c r="D92" s="23">
        <v>2690.4</v>
      </c>
      <c r="F92" s="14" t="s">
        <v>19</v>
      </c>
      <c r="G92" t="s">
        <v>392</v>
      </c>
      <c r="H92">
        <v>2</v>
      </c>
      <c r="J92" s="14" t="s">
        <v>19</v>
      </c>
      <c r="K92" t="s">
        <v>392</v>
      </c>
      <c r="L92">
        <v>28.4</v>
      </c>
    </row>
    <row r="93" spans="1:12" x14ac:dyDescent="0.3">
      <c r="A93" t="s">
        <v>19</v>
      </c>
      <c r="B93" t="s">
        <v>392</v>
      </c>
      <c r="C93" s="23">
        <v>2</v>
      </c>
      <c r="D93" s="23">
        <v>28.4</v>
      </c>
      <c r="F93" s="14" t="s">
        <v>19</v>
      </c>
      <c r="G93" t="s">
        <v>670</v>
      </c>
      <c r="H93">
        <v>4</v>
      </c>
      <c r="J93" s="14" t="s">
        <v>19</v>
      </c>
      <c r="K93" t="s">
        <v>670</v>
      </c>
      <c r="L93">
        <v>204.8</v>
      </c>
    </row>
    <row r="94" spans="1:12" x14ac:dyDescent="0.3">
      <c r="A94" t="s">
        <v>19</v>
      </c>
      <c r="B94" t="s">
        <v>670</v>
      </c>
      <c r="C94" s="23">
        <v>4</v>
      </c>
      <c r="D94" s="23">
        <v>204.8</v>
      </c>
      <c r="F94" s="14" t="s">
        <v>19</v>
      </c>
      <c r="G94" t="s">
        <v>802</v>
      </c>
      <c r="H94">
        <v>31</v>
      </c>
      <c r="J94" s="14" t="s">
        <v>19</v>
      </c>
      <c r="K94" t="s">
        <v>802</v>
      </c>
      <c r="L94">
        <v>1607.8999999999999</v>
      </c>
    </row>
    <row r="95" spans="1:12" x14ac:dyDescent="0.3">
      <c r="A95" t="s">
        <v>19</v>
      </c>
      <c r="B95" t="s">
        <v>802</v>
      </c>
      <c r="C95" s="23">
        <v>31</v>
      </c>
      <c r="D95" s="23">
        <v>1607.8999999999999</v>
      </c>
      <c r="F95" s="14" t="s">
        <v>19</v>
      </c>
      <c r="G95" t="s">
        <v>98</v>
      </c>
      <c r="H95">
        <v>88</v>
      </c>
      <c r="J95" s="14" t="s">
        <v>19</v>
      </c>
      <c r="K95" t="s">
        <v>98</v>
      </c>
      <c r="L95">
        <v>6444.9</v>
      </c>
    </row>
    <row r="96" spans="1:12" x14ac:dyDescent="0.3">
      <c r="A96" t="s">
        <v>19</v>
      </c>
      <c r="B96" t="s">
        <v>98</v>
      </c>
      <c r="C96" s="23">
        <v>88</v>
      </c>
      <c r="D96" s="23">
        <v>6444.9</v>
      </c>
      <c r="F96" s="14" t="s">
        <v>19</v>
      </c>
      <c r="G96" t="s">
        <v>49</v>
      </c>
      <c r="H96">
        <v>25</v>
      </c>
      <c r="J96" s="14" t="s">
        <v>19</v>
      </c>
      <c r="K96" t="s">
        <v>49</v>
      </c>
      <c r="L96">
        <v>1809.3</v>
      </c>
    </row>
    <row r="97" spans="1:12" x14ac:dyDescent="0.3">
      <c r="A97" t="s">
        <v>19</v>
      </c>
      <c r="B97" t="s">
        <v>49</v>
      </c>
      <c r="C97" s="23">
        <v>25</v>
      </c>
      <c r="D97" s="23">
        <v>1809.3</v>
      </c>
      <c r="F97" s="14" t="s">
        <v>19</v>
      </c>
      <c r="G97" t="s">
        <v>188</v>
      </c>
      <c r="H97">
        <v>178</v>
      </c>
      <c r="J97" s="14" t="s">
        <v>19</v>
      </c>
      <c r="K97" t="s">
        <v>188</v>
      </c>
      <c r="L97">
        <v>9680.399999999996</v>
      </c>
    </row>
    <row r="98" spans="1:12" x14ac:dyDescent="0.3">
      <c r="A98" t="s">
        <v>19</v>
      </c>
      <c r="B98" t="s">
        <v>188</v>
      </c>
      <c r="C98" s="23">
        <v>178</v>
      </c>
      <c r="D98" s="23">
        <v>9680.399999999996</v>
      </c>
      <c r="F98" s="14" t="s">
        <v>19</v>
      </c>
      <c r="G98" t="s">
        <v>52</v>
      </c>
      <c r="H98">
        <v>141</v>
      </c>
      <c r="J98" s="14" t="s">
        <v>19</v>
      </c>
      <c r="K98" t="s">
        <v>52</v>
      </c>
      <c r="L98">
        <v>9414.7999999999993</v>
      </c>
    </row>
    <row r="99" spans="1:12" x14ac:dyDescent="0.3">
      <c r="A99" t="s">
        <v>19</v>
      </c>
      <c r="B99" t="s">
        <v>52</v>
      </c>
      <c r="C99" s="23">
        <v>141</v>
      </c>
      <c r="D99" s="23">
        <v>9414.7999999999993</v>
      </c>
      <c r="F99" s="14" t="s">
        <v>19</v>
      </c>
      <c r="G99" t="s">
        <v>338</v>
      </c>
      <c r="H99">
        <v>6</v>
      </c>
      <c r="J99" s="14" t="s">
        <v>19</v>
      </c>
      <c r="K99" t="s">
        <v>338</v>
      </c>
      <c r="L99">
        <v>206.1</v>
      </c>
    </row>
    <row r="100" spans="1:12" x14ac:dyDescent="0.3">
      <c r="A100" t="s">
        <v>19</v>
      </c>
      <c r="B100" t="s">
        <v>338</v>
      </c>
      <c r="C100" s="23">
        <v>6</v>
      </c>
      <c r="D100" s="23">
        <v>206.1</v>
      </c>
      <c r="F100" s="14" t="s">
        <v>19</v>
      </c>
      <c r="G100" t="s">
        <v>158</v>
      </c>
      <c r="H100">
        <v>178</v>
      </c>
      <c r="J100" s="14" t="s">
        <v>19</v>
      </c>
      <c r="K100" t="s">
        <v>158</v>
      </c>
      <c r="L100">
        <v>7691.3</v>
      </c>
    </row>
    <row r="101" spans="1:12" x14ac:dyDescent="0.3">
      <c r="A101" t="s">
        <v>19</v>
      </c>
      <c r="B101" t="s">
        <v>158</v>
      </c>
      <c r="C101" s="23">
        <v>178</v>
      </c>
      <c r="D101" s="23">
        <v>7691.3</v>
      </c>
      <c r="F101" s="14" t="s">
        <v>19</v>
      </c>
      <c r="G101" t="s">
        <v>55</v>
      </c>
      <c r="H101">
        <v>699</v>
      </c>
      <c r="J101" s="14" t="s">
        <v>19</v>
      </c>
      <c r="K101" t="s">
        <v>55</v>
      </c>
      <c r="L101">
        <v>37784.900000000016</v>
      </c>
    </row>
    <row r="102" spans="1:12" x14ac:dyDescent="0.3">
      <c r="A102" t="s">
        <v>19</v>
      </c>
      <c r="B102" t="s">
        <v>55</v>
      </c>
      <c r="C102" s="23">
        <v>699</v>
      </c>
      <c r="D102" s="23">
        <v>37784.900000000016</v>
      </c>
      <c r="F102" s="14" t="s">
        <v>19</v>
      </c>
      <c r="G102" t="s">
        <v>342</v>
      </c>
      <c r="H102">
        <v>23</v>
      </c>
      <c r="J102" s="14" t="s">
        <v>19</v>
      </c>
      <c r="K102" t="s">
        <v>342</v>
      </c>
      <c r="L102">
        <v>1129.7</v>
      </c>
    </row>
    <row r="103" spans="1:12" x14ac:dyDescent="0.3">
      <c r="A103" t="s">
        <v>19</v>
      </c>
      <c r="B103" t="s">
        <v>342</v>
      </c>
      <c r="C103" s="23">
        <v>23</v>
      </c>
      <c r="D103" s="23">
        <v>1129.7</v>
      </c>
      <c r="F103" s="14" t="s">
        <v>19</v>
      </c>
      <c r="G103" t="s">
        <v>59</v>
      </c>
      <c r="H103">
        <v>356</v>
      </c>
      <c r="J103" s="14" t="s">
        <v>19</v>
      </c>
      <c r="K103" t="s">
        <v>59</v>
      </c>
      <c r="L103">
        <v>20988.9</v>
      </c>
    </row>
    <row r="104" spans="1:12" x14ac:dyDescent="0.3">
      <c r="A104" t="s">
        <v>19</v>
      </c>
      <c r="B104" t="s">
        <v>59</v>
      </c>
      <c r="C104" s="23">
        <v>356</v>
      </c>
      <c r="D104" s="23">
        <v>20988.9</v>
      </c>
      <c r="F104" s="14" t="s">
        <v>19</v>
      </c>
      <c r="G104" t="s">
        <v>62</v>
      </c>
      <c r="H104">
        <v>1768</v>
      </c>
      <c r="J104" s="14" t="s">
        <v>19</v>
      </c>
      <c r="K104" t="s">
        <v>62</v>
      </c>
      <c r="L104">
        <v>98367.099999999977</v>
      </c>
    </row>
    <row r="105" spans="1:12" x14ac:dyDescent="0.3">
      <c r="A105" t="s">
        <v>19</v>
      </c>
      <c r="B105" t="s">
        <v>62</v>
      </c>
      <c r="C105" s="23">
        <v>1768</v>
      </c>
      <c r="D105" s="23">
        <v>98367.099999999977</v>
      </c>
      <c r="F105" s="14" t="s">
        <v>19</v>
      </c>
      <c r="G105" t="s">
        <v>103</v>
      </c>
      <c r="H105">
        <v>307</v>
      </c>
      <c r="J105" s="14" t="s">
        <v>19</v>
      </c>
      <c r="K105" t="s">
        <v>103</v>
      </c>
      <c r="L105">
        <v>21911.9</v>
      </c>
    </row>
    <row r="106" spans="1:12" x14ac:dyDescent="0.3">
      <c r="A106" t="s">
        <v>19</v>
      </c>
      <c r="B106" t="s">
        <v>103</v>
      </c>
      <c r="C106" s="23">
        <v>307</v>
      </c>
      <c r="D106" s="23">
        <v>21911.9</v>
      </c>
      <c r="F106" s="14" t="s">
        <v>19</v>
      </c>
      <c r="G106" t="s">
        <v>201</v>
      </c>
      <c r="H106">
        <v>117</v>
      </c>
      <c r="J106" s="14" t="s">
        <v>19</v>
      </c>
      <c r="K106" t="s">
        <v>201</v>
      </c>
      <c r="L106">
        <v>5441.2</v>
      </c>
    </row>
    <row r="107" spans="1:12" x14ac:dyDescent="0.3">
      <c r="A107" t="s">
        <v>19</v>
      </c>
      <c r="B107" t="s">
        <v>201</v>
      </c>
      <c r="C107" s="23">
        <v>117</v>
      </c>
      <c r="D107" s="23">
        <v>5441.2</v>
      </c>
      <c r="F107" s="14" t="s">
        <v>19</v>
      </c>
      <c r="G107" t="s">
        <v>429</v>
      </c>
      <c r="H107">
        <v>13</v>
      </c>
      <c r="J107" s="14" t="s">
        <v>19</v>
      </c>
      <c r="K107" t="s">
        <v>429</v>
      </c>
      <c r="L107">
        <v>392.8</v>
      </c>
    </row>
    <row r="108" spans="1:12" x14ac:dyDescent="0.3">
      <c r="A108" t="s">
        <v>19</v>
      </c>
      <c r="B108" t="s">
        <v>429</v>
      </c>
      <c r="C108" s="23">
        <v>13</v>
      </c>
      <c r="D108" s="23">
        <v>392.8</v>
      </c>
      <c r="F108" s="14" t="s">
        <v>19</v>
      </c>
      <c r="G108" t="s">
        <v>72</v>
      </c>
      <c r="H108">
        <v>364</v>
      </c>
      <c r="J108" s="14" t="s">
        <v>19</v>
      </c>
      <c r="K108" t="s">
        <v>72</v>
      </c>
      <c r="L108">
        <v>16172.000000000005</v>
      </c>
    </row>
    <row r="109" spans="1:12" x14ac:dyDescent="0.3">
      <c r="A109" t="s">
        <v>19</v>
      </c>
      <c r="B109" t="s">
        <v>72</v>
      </c>
      <c r="C109" s="23">
        <v>364</v>
      </c>
      <c r="D109" s="23">
        <v>16172.000000000005</v>
      </c>
      <c r="F109" s="14" t="s">
        <v>19</v>
      </c>
      <c r="G109" t="s">
        <v>74</v>
      </c>
      <c r="H109">
        <v>95</v>
      </c>
      <c r="J109" s="14" t="s">
        <v>19</v>
      </c>
      <c r="K109" t="s">
        <v>74</v>
      </c>
      <c r="L109">
        <v>4334.9999999999991</v>
      </c>
    </row>
    <row r="110" spans="1:12" x14ac:dyDescent="0.3">
      <c r="A110" t="s">
        <v>19</v>
      </c>
      <c r="B110" t="s">
        <v>74</v>
      </c>
      <c r="C110" s="23">
        <v>95</v>
      </c>
      <c r="D110" s="23">
        <v>4334.9999999999991</v>
      </c>
      <c r="F110" s="14" t="s">
        <v>19</v>
      </c>
      <c r="G110" t="s">
        <v>77</v>
      </c>
      <c r="H110">
        <v>737</v>
      </c>
      <c r="J110" s="14" t="s">
        <v>19</v>
      </c>
      <c r="K110" t="s">
        <v>77</v>
      </c>
      <c r="L110">
        <v>37449.000000000007</v>
      </c>
    </row>
    <row r="111" spans="1:12" x14ac:dyDescent="0.3">
      <c r="A111" t="s">
        <v>19</v>
      </c>
      <c r="B111" t="s">
        <v>77</v>
      </c>
      <c r="C111" s="23">
        <v>737</v>
      </c>
      <c r="D111" s="23">
        <v>37449.000000000007</v>
      </c>
      <c r="F111" s="14" t="s">
        <v>19</v>
      </c>
      <c r="G111" t="s">
        <v>309</v>
      </c>
      <c r="H111">
        <v>39</v>
      </c>
      <c r="J111" s="14" t="s">
        <v>19</v>
      </c>
      <c r="K111" t="s">
        <v>309</v>
      </c>
      <c r="L111">
        <v>2447.5</v>
      </c>
    </row>
    <row r="112" spans="1:12" x14ac:dyDescent="0.3">
      <c r="A112" t="s">
        <v>19</v>
      </c>
      <c r="B112" t="s">
        <v>309</v>
      </c>
      <c r="C112" s="23">
        <v>39</v>
      </c>
      <c r="D112" s="23">
        <v>2447.5</v>
      </c>
      <c r="F112" s="14" t="s">
        <v>19</v>
      </c>
      <c r="G112" t="s">
        <v>1116</v>
      </c>
      <c r="H112">
        <v>56</v>
      </c>
      <c r="J112" s="14" t="s">
        <v>19</v>
      </c>
      <c r="K112" t="s">
        <v>1116</v>
      </c>
      <c r="L112">
        <v>3391.1</v>
      </c>
    </row>
    <row r="113" spans="1:12" x14ac:dyDescent="0.3">
      <c r="A113" t="s">
        <v>19</v>
      </c>
      <c r="B113" t="s">
        <v>1116</v>
      </c>
      <c r="C113" s="23">
        <v>56</v>
      </c>
      <c r="D113" s="23">
        <v>3391.1</v>
      </c>
      <c r="F113" s="14" t="s">
        <v>19</v>
      </c>
      <c r="G113" t="s">
        <v>700</v>
      </c>
      <c r="H113">
        <v>2</v>
      </c>
      <c r="J113" s="14" t="s">
        <v>19</v>
      </c>
      <c r="K113" t="s">
        <v>700</v>
      </c>
      <c r="L113">
        <v>30.8</v>
      </c>
    </row>
    <row r="114" spans="1:12" x14ac:dyDescent="0.3">
      <c r="A114" t="s">
        <v>19</v>
      </c>
      <c r="B114" t="s">
        <v>700</v>
      </c>
      <c r="C114" s="23">
        <v>2</v>
      </c>
      <c r="D114" s="23">
        <v>30.8</v>
      </c>
      <c r="F114" s="14" t="s">
        <v>19</v>
      </c>
      <c r="G114" t="s">
        <v>268</v>
      </c>
      <c r="H114">
        <v>8</v>
      </c>
      <c r="J114" s="14" t="s">
        <v>19</v>
      </c>
      <c r="K114" t="s">
        <v>268</v>
      </c>
      <c r="L114">
        <v>332.3</v>
      </c>
    </row>
    <row r="115" spans="1:12" x14ac:dyDescent="0.3">
      <c r="A115" t="s">
        <v>19</v>
      </c>
      <c r="B115" t="s">
        <v>268</v>
      </c>
      <c r="C115" s="23">
        <v>8</v>
      </c>
      <c r="D115" s="23">
        <v>332.3</v>
      </c>
      <c r="F115" s="14" t="s">
        <v>19</v>
      </c>
      <c r="G115" t="s">
        <v>377</v>
      </c>
      <c r="H115">
        <v>52</v>
      </c>
      <c r="J115" s="14" t="s">
        <v>19</v>
      </c>
      <c r="K115" t="s">
        <v>377</v>
      </c>
      <c r="L115">
        <v>3175.9999999999995</v>
      </c>
    </row>
    <row r="116" spans="1:12" x14ac:dyDescent="0.3">
      <c r="A116" t="s">
        <v>19</v>
      </c>
      <c r="B116" t="s">
        <v>377</v>
      </c>
      <c r="C116" s="23">
        <v>52</v>
      </c>
      <c r="D116" s="23">
        <v>3175.9999999999995</v>
      </c>
      <c r="F116" s="14" t="s">
        <v>19</v>
      </c>
      <c r="G116" t="s">
        <v>108</v>
      </c>
      <c r="H116">
        <v>295</v>
      </c>
      <c r="J116" s="14" t="s">
        <v>19</v>
      </c>
      <c r="K116" t="s">
        <v>108</v>
      </c>
      <c r="L116">
        <v>20939.600000000002</v>
      </c>
    </row>
    <row r="117" spans="1:12" x14ac:dyDescent="0.3">
      <c r="A117" t="s">
        <v>19</v>
      </c>
      <c r="B117" t="s">
        <v>108</v>
      </c>
      <c r="C117" s="23">
        <v>295</v>
      </c>
      <c r="D117" s="23">
        <v>20939.600000000002</v>
      </c>
      <c r="F117" s="14" t="s">
        <v>19</v>
      </c>
      <c r="G117" t="s">
        <v>110</v>
      </c>
      <c r="H117">
        <v>195</v>
      </c>
      <c r="J117" s="14" t="s">
        <v>19</v>
      </c>
      <c r="K117" t="s">
        <v>110</v>
      </c>
      <c r="L117">
        <v>10185.899999999996</v>
      </c>
    </row>
    <row r="118" spans="1:12" x14ac:dyDescent="0.3">
      <c r="A118" t="s">
        <v>19</v>
      </c>
      <c r="B118" t="s">
        <v>110</v>
      </c>
      <c r="C118" s="23">
        <v>195</v>
      </c>
      <c r="D118" s="23">
        <v>10185.899999999996</v>
      </c>
      <c r="F118" s="14" t="s">
        <v>19</v>
      </c>
      <c r="G118" t="s">
        <v>292</v>
      </c>
      <c r="H118">
        <v>20</v>
      </c>
      <c r="J118" s="14" t="s">
        <v>19</v>
      </c>
      <c r="K118" t="s">
        <v>292</v>
      </c>
      <c r="L118">
        <v>958.7</v>
      </c>
    </row>
    <row r="119" spans="1:12" x14ac:dyDescent="0.3">
      <c r="A119" t="s">
        <v>19</v>
      </c>
      <c r="B119" t="s">
        <v>292</v>
      </c>
      <c r="C119" s="23">
        <v>20</v>
      </c>
      <c r="D119" s="23">
        <v>958.7</v>
      </c>
      <c r="F119" s="14" t="s">
        <v>19</v>
      </c>
      <c r="G119" t="s">
        <v>79</v>
      </c>
      <c r="H119">
        <v>6</v>
      </c>
      <c r="J119" s="14" t="s">
        <v>19</v>
      </c>
      <c r="K119" t="s">
        <v>79</v>
      </c>
      <c r="L119">
        <v>323</v>
      </c>
    </row>
    <row r="120" spans="1:12" x14ac:dyDescent="0.3">
      <c r="A120" t="s">
        <v>19</v>
      </c>
      <c r="B120" t="s">
        <v>79</v>
      </c>
      <c r="C120" s="23">
        <v>6</v>
      </c>
      <c r="D120" s="23">
        <v>323</v>
      </c>
      <c r="F120" s="14" t="s">
        <v>19</v>
      </c>
      <c r="G120" t="s">
        <v>608</v>
      </c>
      <c r="H120">
        <v>5</v>
      </c>
      <c r="J120" s="14" t="s">
        <v>19</v>
      </c>
      <c r="K120" t="s">
        <v>608</v>
      </c>
      <c r="L120">
        <v>167.70000000000002</v>
      </c>
    </row>
    <row r="121" spans="1:12" x14ac:dyDescent="0.3">
      <c r="A121" t="s">
        <v>19</v>
      </c>
      <c r="B121" t="s">
        <v>608</v>
      </c>
      <c r="C121" s="23">
        <v>5</v>
      </c>
      <c r="D121" s="23">
        <v>167.70000000000002</v>
      </c>
      <c r="F121" s="14" t="s">
        <v>19</v>
      </c>
      <c r="G121" t="s">
        <v>113</v>
      </c>
      <c r="H121">
        <v>94</v>
      </c>
      <c r="J121" s="14" t="s">
        <v>19</v>
      </c>
      <c r="K121" t="s">
        <v>113</v>
      </c>
      <c r="L121">
        <v>3978.5</v>
      </c>
    </row>
    <row r="122" spans="1:12" x14ac:dyDescent="0.3">
      <c r="A122" t="s">
        <v>19</v>
      </c>
      <c r="B122" t="s">
        <v>113</v>
      </c>
      <c r="C122" s="23">
        <v>94</v>
      </c>
      <c r="D122" s="23">
        <v>3978.5</v>
      </c>
      <c r="F122" s="14" t="s">
        <v>19</v>
      </c>
      <c r="G122" t="s">
        <v>997</v>
      </c>
      <c r="H122">
        <v>28</v>
      </c>
      <c r="J122" s="14" t="s">
        <v>19</v>
      </c>
      <c r="K122" t="s">
        <v>997</v>
      </c>
      <c r="L122">
        <v>1405</v>
      </c>
    </row>
    <row r="123" spans="1:12" x14ac:dyDescent="0.3">
      <c r="A123" t="s">
        <v>19</v>
      </c>
      <c r="B123" t="s">
        <v>997</v>
      </c>
      <c r="C123" s="23">
        <v>28</v>
      </c>
      <c r="D123" s="23">
        <v>1405</v>
      </c>
      <c r="F123" s="14" t="s">
        <v>19</v>
      </c>
      <c r="G123" t="s">
        <v>82</v>
      </c>
      <c r="H123">
        <v>179</v>
      </c>
      <c r="J123" s="14" t="s">
        <v>19</v>
      </c>
      <c r="K123" t="s">
        <v>82</v>
      </c>
      <c r="L123">
        <v>9869.0999999999985</v>
      </c>
    </row>
    <row r="124" spans="1:12" x14ac:dyDescent="0.3">
      <c r="A124" t="s">
        <v>19</v>
      </c>
      <c r="B124" t="s">
        <v>82</v>
      </c>
      <c r="C124" s="23">
        <v>179</v>
      </c>
      <c r="D124" s="23">
        <v>9869.0999999999985</v>
      </c>
      <c r="F124" s="14" t="s">
        <v>19</v>
      </c>
      <c r="G124" t="s">
        <v>243</v>
      </c>
      <c r="H124">
        <v>15</v>
      </c>
      <c r="J124" s="14" t="s">
        <v>19</v>
      </c>
      <c r="K124" t="s">
        <v>243</v>
      </c>
      <c r="L124">
        <v>615.29999999999995</v>
      </c>
    </row>
    <row r="125" spans="1:12" x14ac:dyDescent="0.3">
      <c r="A125" t="s">
        <v>19</v>
      </c>
      <c r="B125" t="s">
        <v>243</v>
      </c>
      <c r="C125" s="23">
        <v>15</v>
      </c>
      <c r="D125" s="23">
        <v>615.29999999999995</v>
      </c>
      <c r="F125" s="18" t="s">
        <v>19</v>
      </c>
      <c r="G125" t="s">
        <v>1911</v>
      </c>
      <c r="H125">
        <v>3</v>
      </c>
      <c r="J125" s="18" t="s">
        <v>19</v>
      </c>
      <c r="K125" t="s">
        <v>1911</v>
      </c>
      <c r="L125">
        <v>285</v>
      </c>
    </row>
    <row r="126" spans="1:12" x14ac:dyDescent="0.3">
      <c r="A126" t="s">
        <v>19</v>
      </c>
      <c r="B126" t="s">
        <v>1911</v>
      </c>
      <c r="C126" s="23">
        <v>3</v>
      </c>
      <c r="D126" s="23">
        <v>285</v>
      </c>
    </row>
    <row r="130" spans="1:2" x14ac:dyDescent="0.3">
      <c r="A130" s="11" t="s">
        <v>2526</v>
      </c>
      <c r="B130" t="s">
        <v>2540</v>
      </c>
    </row>
    <row r="131" spans="1:2" x14ac:dyDescent="0.3">
      <c r="A131" s="12">
        <v>0</v>
      </c>
      <c r="B131" s="23">
        <v>175</v>
      </c>
    </row>
    <row r="132" spans="1:2" x14ac:dyDescent="0.3">
      <c r="A132" s="12">
        <v>1</v>
      </c>
      <c r="B132" s="23">
        <v>888</v>
      </c>
    </row>
    <row r="133" spans="1:2" x14ac:dyDescent="0.3">
      <c r="A133" s="12">
        <v>2</v>
      </c>
      <c r="B133" s="23">
        <v>538</v>
      </c>
    </row>
    <row r="134" spans="1:2" x14ac:dyDescent="0.3">
      <c r="A134" s="12">
        <v>3</v>
      </c>
      <c r="B134" s="23">
        <v>344</v>
      </c>
    </row>
    <row r="135" spans="1:2" x14ac:dyDescent="0.3">
      <c r="A135" s="12">
        <v>4</v>
      </c>
      <c r="B135" s="23">
        <v>200</v>
      </c>
    </row>
    <row r="136" spans="1:2" x14ac:dyDescent="0.3">
      <c r="A136" s="12">
        <v>5</v>
      </c>
      <c r="B136" s="23">
        <v>94</v>
      </c>
    </row>
    <row r="137" spans="1:2" x14ac:dyDescent="0.3">
      <c r="A137" s="12">
        <v>6</v>
      </c>
      <c r="B137" s="23">
        <v>51</v>
      </c>
    </row>
    <row r="138" spans="1:2" x14ac:dyDescent="0.3">
      <c r="A138" s="12">
        <v>7</v>
      </c>
      <c r="B138" s="23">
        <v>32</v>
      </c>
    </row>
    <row r="139" spans="1:2" x14ac:dyDescent="0.3">
      <c r="A139" s="12">
        <v>8</v>
      </c>
      <c r="B139" s="23">
        <v>23</v>
      </c>
    </row>
    <row r="140" spans="1:2" x14ac:dyDescent="0.3">
      <c r="A140" s="12">
        <v>9</v>
      </c>
      <c r="B140" s="23">
        <v>9</v>
      </c>
    </row>
    <row r="141" spans="1:2" x14ac:dyDescent="0.3">
      <c r="A141" s="12">
        <v>10</v>
      </c>
      <c r="B141" s="23">
        <v>8</v>
      </c>
    </row>
    <row r="142" spans="1:2" x14ac:dyDescent="0.3">
      <c r="A142" s="12">
        <v>11</v>
      </c>
      <c r="B142" s="23">
        <v>11</v>
      </c>
    </row>
    <row r="143" spans="1:2" x14ac:dyDescent="0.3">
      <c r="A143" s="12">
        <v>12</v>
      </c>
      <c r="B143" s="23">
        <v>4</v>
      </c>
    </row>
    <row r="144" spans="1:2" x14ac:dyDescent="0.3">
      <c r="A144" s="12">
        <v>13</v>
      </c>
      <c r="B144" s="23">
        <v>10</v>
      </c>
    </row>
    <row r="145" spans="1:7" x14ac:dyDescent="0.3">
      <c r="A145" s="12">
        <v>14</v>
      </c>
      <c r="B145" s="23">
        <v>13</v>
      </c>
    </row>
    <row r="146" spans="1:7" x14ac:dyDescent="0.3">
      <c r="A146" s="12" t="s">
        <v>2527</v>
      </c>
      <c r="B146" s="23">
        <v>2400</v>
      </c>
    </row>
    <row r="149" spans="1:7" x14ac:dyDescent="0.3">
      <c r="A149" s="11" t="s">
        <v>2535</v>
      </c>
      <c r="B149" s="11" t="s">
        <v>2532</v>
      </c>
    </row>
    <row r="150" spans="1:7" x14ac:dyDescent="0.3">
      <c r="A150" s="11" t="s">
        <v>2526</v>
      </c>
      <c r="B150">
        <v>1</v>
      </c>
      <c r="C150">
        <v>2</v>
      </c>
      <c r="D150">
        <v>3</v>
      </c>
      <c r="E150">
        <v>4</v>
      </c>
      <c r="F150">
        <v>5</v>
      </c>
      <c r="G150" t="s">
        <v>2527</v>
      </c>
    </row>
    <row r="151" spans="1:7" x14ac:dyDescent="0.3">
      <c r="A151" s="12" t="s">
        <v>2541</v>
      </c>
      <c r="B151" s="23">
        <v>7</v>
      </c>
      <c r="C151" s="23">
        <v>37</v>
      </c>
      <c r="D151" s="23">
        <v>150</v>
      </c>
      <c r="E151" s="23">
        <v>312</v>
      </c>
      <c r="F151" s="23">
        <v>224</v>
      </c>
      <c r="G151" s="23">
        <v>730</v>
      </c>
    </row>
    <row r="152" spans="1:7" x14ac:dyDescent="0.3">
      <c r="A152" s="12" t="s">
        <v>2542</v>
      </c>
      <c r="B152" s="23">
        <v>8</v>
      </c>
      <c r="C152" s="23">
        <v>51</v>
      </c>
      <c r="D152" s="23">
        <v>182</v>
      </c>
      <c r="E152" s="23">
        <v>373</v>
      </c>
      <c r="F152" s="23">
        <v>247</v>
      </c>
      <c r="G152" s="23">
        <v>861</v>
      </c>
    </row>
    <row r="153" spans="1:7" x14ac:dyDescent="0.3">
      <c r="A153" s="12" t="s">
        <v>2543</v>
      </c>
      <c r="B153" s="23">
        <v>6</v>
      </c>
      <c r="C153" s="23">
        <v>39</v>
      </c>
      <c r="D153" s="23">
        <v>163</v>
      </c>
      <c r="E153" s="23">
        <v>351</v>
      </c>
      <c r="F153" s="23">
        <v>250</v>
      </c>
      <c r="G153" s="23">
        <v>809</v>
      </c>
    </row>
    <row r="154" spans="1:7" x14ac:dyDescent="0.3">
      <c r="A154" s="12" t="s">
        <v>2527</v>
      </c>
      <c r="B154" s="23">
        <v>21</v>
      </c>
      <c r="C154" s="23">
        <v>127</v>
      </c>
      <c r="D154" s="23">
        <v>495</v>
      </c>
      <c r="E154" s="23">
        <v>1036</v>
      </c>
      <c r="F154" s="23">
        <v>721</v>
      </c>
      <c r="G154" s="23">
        <v>2400</v>
      </c>
    </row>
  </sheetData>
  <mergeCells count="1">
    <mergeCell ref="A6:E6"/>
  </mergeCells>
  <conditionalFormatting sqref="F21:I25">
    <cfRule type="colorScale" priority="1">
      <colorScale>
        <cfvo type="min"/>
        <cfvo type="percentile" val="50"/>
        <cfvo type="max"/>
        <color rgb="FFF8696B"/>
        <color rgb="FFFCFCFF"/>
        <color rgb="FF5A8AC6"/>
      </colorScale>
    </cfRule>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Questions &amp; KPIs</vt:lpstr>
      <vt:lpstr>Dashboard</vt:lpstr>
      <vt:lpstr>Pivot_Tables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Mayur Bhamare</cp:lastModifiedBy>
  <dcterms:created xsi:type="dcterms:W3CDTF">2025-06-13T02:42:26Z</dcterms:created>
  <dcterms:modified xsi:type="dcterms:W3CDTF">2026-02-01T08:33:37Z</dcterms:modified>
</cp:coreProperties>
</file>